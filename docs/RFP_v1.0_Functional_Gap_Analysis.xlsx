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kannanramakrishnan/UnifiedCommerce/docs/"/>
    </mc:Choice>
  </mc:AlternateContent>
  <xr:revisionPtr revIDLastSave="0" documentId="13_ncr:1_{CF674614-876E-9346-BD03-3AAEAD47F902}" xr6:coauthVersionLast="47" xr6:coauthVersionMax="47" xr10:uidLastSave="{00000000-0000-0000-0000-000000000000}"/>
  <bookViews>
    <workbookView xWindow="20" yWindow="600" windowWidth="38400" windowHeight="19300" activeTab="1" xr2:uid="{00000000-000D-0000-FFFF-FFFF00000000}"/>
  </bookViews>
  <sheets>
    <sheet name="RFP-Document-Functions-Summary" sheetId="4" r:id="rId1"/>
    <sheet name="Scope Summary" sheetId="12" r:id="rId2"/>
    <sheet name="scope" sheetId="10" r:id="rId3"/>
    <sheet name="Functional_Gap_Matrix" sheetId="1" r:id="rId4"/>
    <sheet name="About Company and Capabilitiy" sheetId="5" r:id="rId5"/>
    <sheet name="3rd Parties" sheetId="9" r:id="rId6"/>
    <sheet name="Quesions" sheetId="7" r:id="rId7"/>
    <sheet name="Tech Stack" sheetId="8" r:id="rId8"/>
    <sheet name="Requirement" sheetId="6" r:id="rId9"/>
  </sheets>
  <definedNames>
    <definedName name="_xlnm._FilterDatabase" localSheetId="3" hidden="1">Functional_Gap_Matrix!$A$1:$J$51</definedName>
    <definedName name="_xlnm._FilterDatabase" localSheetId="2" hidden="1">scope!$A$2:$D$135</definedName>
  </definedNames>
  <calcPr calcId="191029"/>
  <pivotCaches>
    <pivotCache cacheId="10" r:id="rId10"/>
    <pivotCache cacheId="23"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 i="12" l="1"/>
  <c r="N12" i="12"/>
  <c r="M6" i="12"/>
  <c r="M5" i="12"/>
</calcChain>
</file>

<file path=xl/sharedStrings.xml><?xml version="1.0" encoding="utf-8"?>
<sst xmlns="http://schemas.openxmlformats.org/spreadsheetml/2006/main" count="1362" uniqueCount="703">
  <si>
    <t>Req_ID</t>
  </si>
  <si>
    <t>RFP_Reference</t>
  </si>
  <si>
    <t>Classification</t>
  </si>
  <si>
    <t>Requirement_Summary</t>
  </si>
  <si>
    <t>Java_Availability</t>
  </si>
  <si>
    <t>Java_Notes_Evidence</t>
  </si>
  <si>
    <t>Medusa_Availability</t>
  </si>
  <si>
    <t>Medusa_Notes_Evidence</t>
  </si>
  <si>
    <t>Storefront_NextJS_Other</t>
  </si>
  <si>
    <t>Overall_Assessment</t>
  </si>
  <si>
    <t>FR-001</t>
  </si>
  <si>
    <t>6.1 / 6.2 intro</t>
  </si>
  <si>
    <t>Policy</t>
  </si>
  <si>
    <t>Retain EDION-exclusive EC features after renewal (in principle)</t>
  </si>
  <si>
    <t>N/A</t>
  </si>
  <si>
    <t>Business-specific; not modeled in generic UC repo</t>
  </si>
  <si>
    <t>Platform extensible via custom modules</t>
  </si>
  <si>
    <t>Brand-specific UI/content</t>
  </si>
  <si>
    <t>GAP — requires EDION-specific build-out</t>
  </si>
  <si>
    <t>FR-002</t>
  </si>
  <si>
    <t>6.2 intro</t>
  </si>
  <si>
    <t>Remove: Multiple delivery addresses in a single order (cost-effectiveness)</t>
  </si>
  <si>
    <t>Policy decision</t>
  </si>
  <si>
    <t>Partial</t>
  </si>
  <si>
    <t>Medusa can support multi-shipment; must be constrained by design</t>
  </si>
  <si>
    <t>Checkout UX</t>
  </si>
  <si>
    <t>CONFIG/GAP — enforce single-shipment if required</t>
  </si>
  <si>
    <t>FR-003</t>
  </si>
  <si>
    <t>Order modification after order placed</t>
  </si>
  <si>
    <t>Not in workspace</t>
  </si>
  <si>
    <t>No Java order-edit API observed</t>
  </si>
  <si>
    <t>Medusa v2 order flows exist; admin edit not cataloged in this review</t>
  </si>
  <si>
    <t>GAP — needs explicit workflow</t>
  </si>
  <si>
    <t>FR-004</t>
  </si>
  <si>
    <t>EC Storefront</t>
  </si>
  <si>
    <t>Product request for items not found in search</t>
  </si>
  <si>
    <t>No product-request workflow</t>
  </si>
  <si>
    <t>No custom module</t>
  </si>
  <si>
    <t>GAP</t>
  </si>
  <si>
    <t>FR-005</t>
  </si>
  <si>
    <t>Guest purchase without member registration</t>
  </si>
  <si>
    <t>customer-service email/pass; guest = cart without account</t>
  </si>
  <si>
    <t>Available</t>
  </si>
  <si>
    <t>Medusa guest checkout when configured</t>
  </si>
  <si>
    <t>Storefront</t>
  </si>
  <si>
    <t>LIKELY COVERED — verify end-to-end</t>
  </si>
  <si>
    <t>FR-006</t>
  </si>
  <si>
    <t>UX Policy</t>
  </si>
  <si>
    <t>Target UI/UX alignment with yodobashi.com</t>
  </si>
  <si>
    <t>Grocery-focused template</t>
  </si>
  <si>
    <t>GAP — not Yodobashi-equivalent</t>
  </si>
  <si>
    <t>FR-007</t>
  </si>
  <si>
    <t>6.2.1</t>
  </si>
  <si>
    <t>Innovation</t>
  </si>
  <si>
    <t>Agent commerce (external agents + in-site shopping agents)</t>
  </si>
  <si>
    <t>No agent APIs</t>
  </si>
  <si>
    <t>None</t>
  </si>
  <si>
    <t>FR-008</t>
  </si>
  <si>
    <t>Architecture</t>
  </si>
  <si>
    <t>Horizontal platform: shared backend, swappable frontends</t>
  </si>
  <si>
    <t>Java microservices + shared Postgres with Medusa</t>
  </si>
  <si>
    <t>Medusa commerce core + middleware delegation to Java</t>
  </si>
  <si>
    <t>Next.js</t>
  </si>
  <si>
    <t>PARTIAL — aligns with RFP direction</t>
  </si>
  <si>
    <t>FR-009</t>
  </si>
  <si>
    <t>Integration</t>
  </si>
  <si>
    <t>Catalog mall punch-out (JR Tokai) — RFP marks Delete</t>
  </si>
  <si>
    <t>OUT OF SCOPE (deleted per RFP)</t>
  </si>
  <si>
    <t>FR-010</t>
  </si>
  <si>
    <t>6.2.2</t>
  </si>
  <si>
    <t>EC Admin</t>
  </si>
  <si>
    <t>Admin supporting new storefront features (web on core)</t>
  </si>
  <si>
    <t>admin-dashboard, products admin write/export</t>
  </si>
  <si>
    <t>Medusa Admin + custom routes (promotions, recipes, …)</t>
  </si>
  <si>
    <t>PARTIAL — &lt;&lt; EDION ECBO scope</t>
  </si>
  <si>
    <t>FR-011</t>
  </si>
  <si>
    <t>Align other admin with yodobashi-style where suitable</t>
  </si>
  <si>
    <t>FR-012</t>
  </si>
  <si>
    <t>Smartphone</t>
  </si>
  <si>
    <t>Native app checkout (not WebView-only)</t>
  </si>
  <si>
    <t>APIs exist</t>
  </si>
  <si>
    <t>No RN/Flutter app in repo</t>
  </si>
  <si>
    <t>GAP — no mobile app</t>
  </si>
  <si>
    <t>FR-013</t>
  </si>
  <si>
    <t>6.2.3</t>
  </si>
  <si>
    <t>Batch</t>
  </si>
  <si>
    <t>EC batch jobs (only necessary)</t>
  </si>
  <si>
    <t>No JobCenter/JP1-style jobs</t>
  </si>
  <si>
    <t>No RFP batch list implemented</t>
  </si>
  <si>
    <t>FR-014</t>
  </si>
  <si>
    <t>6.2.4</t>
  </si>
  <si>
    <t>Retain smartphone app feature set post-renewal</t>
  </si>
  <si>
    <t>No Edion app</t>
  </si>
  <si>
    <t>FR-015</t>
  </si>
  <si>
    <t>Core Noh as web application</t>
  </si>
  <si>
    <t>PWA possible</t>
  </si>
  <si>
    <t>PARTIAL</t>
  </si>
  <si>
    <t>FR-016</t>
  </si>
  <si>
    <t>6.2.5</t>
  </si>
  <si>
    <t>App Admin</t>
  </si>
  <si>
    <t>App management on core (web)</t>
  </si>
  <si>
    <t>RBAC/products only</t>
  </si>
  <si>
    <t>Limited admin APIs</t>
  </si>
  <si>
    <t>GAP — no app CMS</t>
  </si>
  <si>
    <t>FR-017</t>
  </si>
  <si>
    <t>6.2.6</t>
  </si>
  <si>
    <t>App batch (push, coins, …)</t>
  </si>
  <si>
    <t>FR-018</t>
  </si>
  <si>
    <t>6.2.7</t>
  </si>
  <si>
    <t>OMO Hub</t>
  </si>
  <si>
    <t>Hub: stores + EC + marketing seamless access</t>
  </si>
  <si>
    <t>No loyalty/OMO</t>
  </si>
  <si>
    <t>Commerce only</t>
  </si>
  <si>
    <t>FR-019</t>
  </si>
  <si>
    <t>Mix of new platform (other project) + existing platforms</t>
  </si>
  <si>
    <t>HTTP microservices pattern</t>
  </si>
  <si>
    <t>Medusa v2 modular</t>
  </si>
  <si>
    <t>ALIGNS at pattern level</t>
  </si>
  <si>
    <t>FR-020</t>
  </si>
  <si>
    <t>4.2.3 / 6.3.8</t>
  </si>
  <si>
    <t>Browse, PDP, cart, checkout</t>
  </si>
  <si>
    <t>products-service + cart-service</t>
  </si>
  <si>
    <t>Medusa orders/payments when used</t>
  </si>
  <si>
    <t>Next.js storefront</t>
  </si>
  <si>
    <t>COVERED for reference commerce</t>
  </si>
  <si>
    <t>FR-021</t>
  </si>
  <si>
    <t>4.2.3</t>
  </si>
  <si>
    <t>Search</t>
  </si>
  <si>
    <t>Product search (AS-IS: goo Search class)</t>
  </si>
  <si>
    <t>search-service GET /search</t>
  </si>
  <si>
    <t>Catalog search proxied to Java</t>
  </si>
  <si>
    <t>Algolia optional (Next.js)</t>
  </si>
  <si>
    <t>PARTIAL — dual paths</t>
  </si>
  <si>
    <t>FR-022</t>
  </si>
  <si>
    <t>6.3.8</t>
  </si>
  <si>
    <t>Search UX</t>
  </si>
  <si>
    <t>Autocomplete, facets, filters</t>
  </si>
  <si>
    <t>Java: q, price, category, collection</t>
  </si>
  <si>
    <t>Java-backed</t>
  </si>
  <si>
    <t>Algolia InstantSearch if env set</t>
  </si>
  <si>
    <t>FR-023</t>
  </si>
  <si>
    <t>No-results handling + product request</t>
  </si>
  <si>
    <t>Basic search</t>
  </si>
  <si>
    <t>Algolia may help</t>
  </si>
  <si>
    <t>FR-024</t>
  </si>
  <si>
    <t>4.2.12</t>
  </si>
  <si>
    <t>Payments</t>
  </si>
  <si>
    <t>JP PSPs: Orico, bank transfer, Incom mobile, etc.</t>
  </si>
  <si>
    <t>Stripe/Medusa providers</t>
  </si>
  <si>
    <t>Stripe UI</t>
  </si>
  <si>
    <t>GAP for JP stack</t>
  </si>
  <si>
    <t>FR-025</t>
  </si>
  <si>
    <t>Loyalty</t>
  </si>
  <si>
    <t>d-point, V-point, Rakuten integration</t>
  </si>
  <si>
    <t>FR-026</t>
  </si>
  <si>
    <t>Personalization</t>
  </si>
  <si>
    <t>Recommendation engine (dequwas-class)</t>
  </si>
  <si>
    <t>FR-027</t>
  </si>
  <si>
    <t>Logistics</t>
  </si>
  <si>
    <t>Yamato, large-item, dropshipping</t>
  </si>
  <si>
    <t>Generic fulfillment</t>
  </si>
  <si>
    <t>FR-028</t>
  </si>
  <si>
    <t>Service</t>
  </si>
  <si>
    <t>On-site repair / warranty APIs</t>
  </si>
  <si>
    <t>FR-029</t>
  </si>
  <si>
    <t>Digital</t>
  </si>
  <si>
    <t>E-gifts, downloadable products</t>
  </si>
  <si>
    <t>Not verified</t>
  </si>
  <si>
    <t>FR-030</t>
  </si>
  <si>
    <t>Auth</t>
  </si>
  <si>
    <t>SMS OTP login (MediaSMS-class)</t>
  </si>
  <si>
    <t>Email/pass only in customer-service</t>
  </si>
  <si>
    <t>No SMS route</t>
  </si>
  <si>
    <t>FR-031</t>
  </si>
  <si>
    <t>4.3.3</t>
  </si>
  <si>
    <t>Member App</t>
  </si>
  <si>
    <t>Digital membership card + points</t>
  </si>
  <si>
    <t>FR-032</t>
  </si>
  <si>
    <t>Coupons, coins, campaigns, push</t>
  </si>
  <si>
    <t>admin/promotions middleware</t>
  </si>
  <si>
    <t>FR-033</t>
  </si>
  <si>
    <t>Barcode / NFC / QR product scan</t>
  </si>
  <si>
    <t>FR-034</t>
  </si>
  <si>
    <t>4.3.4</t>
  </si>
  <si>
    <t>App CMS</t>
  </si>
  <si>
    <t>Banners, news, push CMS, coupon CSV, category order</t>
  </si>
  <si>
    <t>FR-035</t>
  </si>
  <si>
    <t>4.3.6</t>
  </si>
  <si>
    <t>API</t>
  </si>
  <si>
    <t>Edion app API surface (member, coin, coupon, store, content)</t>
  </si>
  <si>
    <t>customer + store data partial</t>
  </si>
  <si>
    <t>store-locator, subscriptions routes</t>
  </si>
  <si>
    <t>MAJOR GAP vs Edion</t>
  </si>
  <si>
    <t>FR-036</t>
  </si>
  <si>
    <t>UC demo</t>
  </si>
  <si>
    <t>Custom</t>
  </si>
  <si>
    <t>Physical store locator</t>
  </si>
  <si>
    <t>module store-locator + /store/store-locations</t>
  </si>
  <si>
    <t>Leaflet</t>
  </si>
  <si>
    <t>COVERED</t>
  </si>
  <si>
    <t>FR-037</t>
  </si>
  <si>
    <t>Recipe module (grocery domain)</t>
  </si>
  <si>
    <t>recipe module + /store/recipes</t>
  </si>
  <si>
    <t>Storefront pages</t>
  </si>
  <si>
    <t>COVERED — not CE retail</t>
  </si>
  <si>
    <t>FR-038</t>
  </si>
  <si>
    <t>Subscriptions</t>
  </si>
  <si>
    <t>Subscription pause/resume/skip/cancel APIs</t>
  </si>
  <si>
    <t>src/api/store/customers/me/subscriptions/**</t>
  </si>
  <si>
    <t>Wire in UI</t>
  </si>
  <si>
    <t>FR-039</t>
  </si>
  <si>
    <t>Catalog API</t>
  </si>
  <si>
    <t>Medusa-shaped store products from Java</t>
  </si>
  <si>
    <t>ProductsController /store/products</t>
  </si>
  <si>
    <t>middleware blocks Medusa /store/products*</t>
  </si>
  <si>
    <t>JAVA_URL</t>
  </si>
  <si>
    <t>FR-040</t>
  </si>
  <si>
    <t>Admin catalog</t>
  </si>
  <si>
    <t>Product/variant CRUD, inventory kit</t>
  </si>
  <si>
    <t>AdminProductWriteController, inventory endpoints</t>
  </si>
  <si>
    <t>Writes via Java</t>
  </si>
  <si>
    <t>Dashboard</t>
  </si>
  <si>
    <t>FR-041</t>
  </si>
  <si>
    <t>Bulk export</t>
  </si>
  <si>
    <t>Async product export CSV</t>
  </si>
  <si>
    <t>AdminProductExportController</t>
  </si>
  <si>
    <t>FR-042</t>
  </si>
  <si>
    <t>Bulk import</t>
  </si>
  <si>
    <t>Batch product create (CSV→JSON pipeline)</t>
  </si>
  <si>
    <t>POST /admin/products/batch in AdminProductWriteController</t>
  </si>
  <si>
    <t>Import UI</t>
  </si>
  <si>
    <t>FR-043</t>
  </si>
  <si>
    <t>Cart</t>
  </si>
  <si>
    <t>Cart + complete (Medusa-compatible paths)</t>
  </si>
  <si>
    <t>cart-service CartController</t>
  </si>
  <si>
    <t>middleware /store/carts* → Java</t>
  </si>
  <si>
    <t>FR-044</t>
  </si>
  <si>
    <t>Account</t>
  </si>
  <si>
    <t>Register/login/reset password</t>
  </si>
  <si>
    <t>customer-service AuthController</t>
  </si>
  <si>
    <t>Medusa auth possible</t>
  </si>
  <si>
    <t>SDK</t>
  </si>
  <si>
    <t>COVERED email/pass</t>
  </si>
  <si>
    <t>FR-045</t>
  </si>
  <si>
    <t>Saved addresses</t>
  </si>
  <si>
    <t>CustomerController addresses</t>
  </si>
  <si>
    <t>Medusa customer tables</t>
  </si>
  <si>
    <t>FR-046</t>
  </si>
  <si>
    <t>Taxonomy</t>
  </si>
  <si>
    <t>Categories &amp; collections</t>
  </si>
  <si>
    <t>categories-service, collections-service</t>
  </si>
  <si>
    <t>Similar delegation pattern</t>
  </si>
  <si>
    <t>FR-047</t>
  </si>
  <si>
    <t>Admin RBAC</t>
  </si>
  <si>
    <t>Invites, users, roles, policies</t>
  </si>
  <si>
    <t>admin-rbac-service</t>
  </si>
  <si>
    <t>Not full Medusa admin RBAC merge</t>
  </si>
  <si>
    <t>COVERED for UC admin</t>
  </si>
  <si>
    <t>FR-048</t>
  </si>
  <si>
    <t>A11y</t>
  </si>
  <si>
    <t>WCAG 2.2 AA</t>
  </si>
  <si>
    <t>GAP — audit needed</t>
  </si>
  <si>
    <t>FR-049</t>
  </si>
  <si>
    <t>UX</t>
  </si>
  <si>
    <t>Fixed search, breadcrumbs, live stock/ETA</t>
  </si>
  <si>
    <t>Partial template</t>
  </si>
  <si>
    <t>PARTIAL GAP</t>
  </si>
  <si>
    <t>FR-050</t>
  </si>
  <si>
    <t>JP postal code address lookup</t>
  </si>
  <si>
    <t>Not observed</t>
  </si>
  <si>
    <t>External API TBD</t>
  </si>
  <si>
    <t>Row Labels</t>
  </si>
  <si>
    <t>Grand Total</t>
  </si>
  <si>
    <t>Column Labels</t>
  </si>
  <si>
    <t>Count of Req_ID</t>
  </si>
  <si>
    <t>Business Model</t>
  </si>
  <si>
    <t>Electornics shop, hope appliances, renovation, telecommunication, real estate, education learning centers</t>
  </si>
  <si>
    <t>11.94 billion yen</t>
  </si>
  <si>
    <t>consolidated sales</t>
  </si>
  <si>
    <t xml:space="preserve">768.1 billion yen </t>
  </si>
  <si>
    <t>Capital Stock</t>
  </si>
  <si>
    <t>Employees</t>
  </si>
  <si>
    <t>9400+ employees 6600+ Contractors</t>
  </si>
  <si>
    <t>Subsidaries</t>
  </si>
  <si>
    <t>Training Programs</t>
  </si>
  <si>
    <t>Edion card</t>
  </si>
  <si>
    <t>4.8 million members</t>
  </si>
  <si>
    <t>stores</t>
  </si>
  <si>
    <t>Owned</t>
  </si>
  <si>
    <t>Franchisee</t>
  </si>
  <si>
    <t>App download</t>
  </si>
  <si>
    <t>12.91 million</t>
  </si>
  <si>
    <t>Operating profit margin</t>
  </si>
  <si>
    <t>Equity Ratio</t>
  </si>
  <si>
    <t>Operating Cashflow</t>
  </si>
  <si>
    <t>30.7 Billion</t>
  </si>
  <si>
    <t>Edion online shop</t>
  </si>
  <si>
    <t>e-comerce</t>
  </si>
  <si>
    <t>mobile app</t>
  </si>
  <si>
    <t>Edion app</t>
  </si>
  <si>
    <t>Digital membership card</t>
  </si>
  <si>
    <t>Member Rank Check</t>
  </si>
  <si>
    <t xml:space="preserve"> Edion Games: Edion Coins are awarded through games. Encourages daily app usage.</t>
  </si>
  <si>
    <t>Sales promotion support: Coupon distribution, flyer viewing, campaign participation.</t>
  </si>
  <si>
    <t>Service integration: Booking and checking the progress of air conditioner cleaning and repair requests.</t>
  </si>
  <si>
    <t>Key Features</t>
  </si>
  <si>
    <t>Store inventory display: Real-time inventory check of physical stores on the e-commerce site.</t>
  </si>
  <si>
    <t>Store pickup service: Order online and pick up your order at your nearest Edion store free of charge (no shipping or handling fees).
The mechanism.</t>
  </si>
  <si>
    <t>Points/Warranty: A common points and warranty system applies to both in-store and online purchases.</t>
  </si>
  <si>
    <t>ecommerce penetration project in 2028</t>
  </si>
  <si>
    <t>User characteristics</t>
  </si>
  <si>
    <t>69% users near in 5km radious in stores, but the online foot print is less so mutual customer referal is functioning, customer can make repeated purchases in the store or online</t>
  </si>
  <si>
    <t>Why ecommerce?</t>
  </si>
  <si>
    <t>When choosing an e-commerce site, "reliability of the operating company (45.6%)" and "low shipping costs (62.2%)" are considered important. When choosing
a site for repeat purchases, "extensive product lineup (69.0%)", "low product prices (54.1%)", and "free shipping (50.8%)" are supported. In terms of features, "real-time
inventory status (60.0%)" and "simple return/exchange process (56.6%)" are considered convenient.</t>
  </si>
  <si>
    <t>Unified Shopping cart</t>
  </si>
  <si>
    <t>Inventory sharing and lead time reduction</t>
  </si>
  <si>
    <t>Price Unification</t>
  </si>
  <si>
    <t>ecommerce revenue</t>
  </si>
  <si>
    <t>47.6 billion yen in 2025</t>
  </si>
  <si>
    <t>Expected growth</t>
  </si>
  <si>
    <t>76.8 billion yen in 2030</t>
  </si>
  <si>
    <t>Category-specific discounts: Store-specific coupons will be made available on our own website (from fiscal year 2026 onwards).</t>
  </si>
  <si>
    <t xml:space="preserve"> Rakuten Points: Rakuten Points will be awarded and redeemed on our own website (from fiscal year 2027 onwards).</t>
  </si>
  <si>
    <t xml:space="preserve"> Expansion of our own delivery area: Large-scale commercial goods will be delivered by switching to our own delivery service in Hokkaido and Hokuriku (formerly the Thank You area).
Increased sales of the product (from fiscal year 2025)</t>
  </si>
  <si>
    <t xml:space="preserve">Edion App and SEO Stregthen the digital communication </t>
  </si>
  <si>
    <t>Provide an environment where customers can check the display and inventory status, make appointments for customer service, and pre-register installation information from their homes or other locations.
This optimizes the time spent on business negotiations during customer visits.</t>
  </si>
  <si>
    <t>By allowing customers to manage their consideration lists on the app and prepare necessary information in advance, the app helps facilitate smooth purchasing decisions.</t>
  </si>
  <si>
    <t>Store staff use tablet devices to complete sales negotiations, inventory checks, and payments right next to the customer, eliminating checkout waiting times.</t>
  </si>
  <si>
    <t>For undecided cases, the details of the business negotiation will be transferred to the customer's app, enabling a seamless transition to consideration, ordering, and delivery
scheduling after returning home.</t>
  </si>
  <si>
    <t>Establish a process that allows customers to select and pay for in-store warehouse stock items via the app, and then immediately pick them up at the counter upon receiving a
notification that they are ready. - - By making the process until receipt visible, we reduce the customer's psychological waiting time.</t>
  </si>
  <si>
    <t>Customers can pre-scan barcodes using their own mobile devices (self-scan) at manned checkout counters.
Minimize the workload and enable speedy settlement.</t>
  </si>
  <si>
    <t xml:space="preserve"> We will develop a self-checkout environment, primarily in large stores, where customers can complete payments themselves.</t>
  </si>
  <si>
    <t>The current system faces challenges such as complexity, opacity, and end-of-life (EOL) issues. In line with our medium-term plan, we will proceed with
modernization according to the following policies.</t>
  </si>
  <si>
    <t>Web-based design: Design independent of hardware and operating system.</t>
  </si>
  <si>
    <t>- Microservices: Dividing into functional units to promote commonality and reuse.</t>
  </si>
  <si>
    <t>- Streamlining: Reorganizing bloated functions and creating a minimum necessary configuration.</t>
  </si>
  <si>
    <t>Realizing a work style that is not restricted by location</t>
  </si>
  <si>
    <t>- You can choose a device that suits your purpose.</t>
  </si>
  <si>
    <t>- Unifying store and e-commerce applications (OMO)</t>
  </si>
  <si>
    <t>- No evaluation testing required on new devices</t>
  </si>
  <si>
    <t>- Reduce testing during OS version upgrades</t>
  </si>
  <si>
    <t>- Improved maintainability</t>
  </si>
  <si>
    <t>- Reduction of redundant development</t>
  </si>
  <si>
    <t>- Reduce the time required for impact assessment</t>
  </si>
  <si>
    <t>- Reduction of modification/testing costs</t>
  </si>
  <si>
    <t>- Reduction of operating costs</t>
  </si>
  <si>
    <t>- Avoiding black boxing (avoiding limitations)</t>
  </si>
  <si>
    <t>- Knowledge utilization by using general software</t>
  </si>
  <si>
    <t>- Reduce migration costs</t>
  </si>
  <si>
    <t>- Shortening the transition period</t>
  </si>
  <si>
    <t>- Reduction of system transition risks</t>
  </si>
  <si>
    <t>- Operating costs: 20% reduction</t>
  </si>
  <si>
    <t>- Development costs: 50% reduction</t>
  </si>
  <si>
    <t>- Development period: 30% reduction</t>
  </si>
  <si>
    <t>- Create a voucher-style data entry for each transaction at the source and process the accounting.</t>
  </si>
  <si>
    <t>- Determining POS prices based on various promotional activities.</t>
  </si>
  <si>
    <t>- Determination of points awarded based on the sales price for our own/common point programs.</t>
  </si>
  <si>
    <t>- Service operations (bring-in repair, on-site repair, parts)</t>
  </si>
  <si>
    <t>- Delivery and installation work (delivery slots, qualification management, additional sales)</t>
  </si>
  <si>
    <t>- Real-time inventory management and automation of product procurement (allocation, ordering, transfer)</t>
  </si>
  <si>
    <t>- Complete delivery/product arrangements at the time of sale (including cancellation, return, and correction processing).</t>
  </si>
  <si>
    <t>- Cancellation/return/correction processing on a per-transaction basis</t>
  </si>
  <si>
    <t>- Warranty system (in-house and outboard)</t>
  </si>
  <si>
    <t>- Family member management for members</t>
  </si>
  <si>
    <t>- ELS compatibility (from project management to POS sales integration)</t>
  </si>
  <si>
    <t>- Support for other industries (game-related, reuse, books)</t>
  </si>
  <si>
    <t>- Order/accounting management on a per-transaction basis</t>
  </si>
  <si>
    <t>- Daily accounting collaboration for financial closing</t>
  </si>
  <si>
    <t>Technical Requirement</t>
  </si>
  <si>
    <t>Functional Requirements</t>
  </si>
  <si>
    <t>Compared to competitors (especially yodobashi.com, etc.), there is room for improvement in search accuracy and user flow design.
The land is vast.</t>
  </si>
  <si>
    <t>Challenges</t>
  </si>
  <si>
    <t>There is a need to unify the shopping cart between the company website and physical stores to create a seamless shopping experience.
Furthermore, the existence of differences in sales prices between stores and e-commerce is a barrier to promoting OMO (Online Merges Offline).</t>
  </si>
  <si>
    <t>The infrastructure for supporting rapidly evolving AI technologies such as LLMO (Large-Scale Language Model Optimization), AIO (AI
Search Optimization), and Agentic Commerce (autonomous purchasing by AI agents) is not yet in place.</t>
  </si>
  <si>
    <t>Due to its highly proprietary framework, AI adoption has not progressed, and securing engineers and training costs are high.
This is leading to an increase.</t>
  </si>
  <si>
    <t>During traffic peaks such as large-scale sales, email newsletter distribution, push notifications, and popular product launches, we are
forced to restrict traffic (virtual waiting room), resulting in lost opportunities and a decline in customer experience.</t>
  </si>
  <si>
    <t>Challeng 1</t>
  </si>
  <si>
    <t>Challeng 2</t>
  </si>
  <si>
    <t>Challenge 3</t>
  </si>
  <si>
    <t>Challenge 4</t>
  </si>
  <si>
    <t>Challenge 5</t>
  </si>
  <si>
    <t>the current sites included B2B, Edion Housing and Corporate site, is the B2B and corporate sites also in the scope?</t>
  </si>
  <si>
    <t>e-Commerce Platform</t>
  </si>
  <si>
    <t>Neo Sarf</t>
  </si>
  <si>
    <t xml:space="preserve">Batch </t>
  </si>
  <si>
    <t>Neo Sarf Batch</t>
  </si>
  <si>
    <t>SEO</t>
  </si>
  <si>
    <t>Schema.org</t>
  </si>
  <si>
    <t>Infra</t>
  </si>
  <si>
    <t>AWS EC2 - Autoscale</t>
  </si>
  <si>
    <t>HaProxy for loadbalancing</t>
  </si>
  <si>
    <t>Containers</t>
  </si>
  <si>
    <t>AWS Fargate</t>
  </si>
  <si>
    <t>for batch and front end</t>
  </si>
  <si>
    <t>DB</t>
  </si>
  <si>
    <t>Oracle</t>
  </si>
  <si>
    <t>for transactional and Customer data</t>
  </si>
  <si>
    <t>Postgres</t>
  </si>
  <si>
    <t>Platform specific</t>
  </si>
  <si>
    <t>Storage</t>
  </si>
  <si>
    <t>Static Assets</t>
  </si>
  <si>
    <t>Amazon EFS</t>
  </si>
  <si>
    <t>CDN</t>
  </si>
  <si>
    <t>Cloudfare</t>
  </si>
  <si>
    <t>Network</t>
  </si>
  <si>
    <t>AWS Transient Gateway</t>
  </si>
  <si>
    <t>Data Dog</t>
  </si>
  <si>
    <t>NewRelic</t>
  </si>
  <si>
    <t>Monitoring</t>
  </si>
  <si>
    <t>APM</t>
  </si>
  <si>
    <t>ETL</t>
  </si>
  <si>
    <t>Data Spider</t>
  </si>
  <si>
    <t>REST Services</t>
  </si>
  <si>
    <t>40 Million Approx</t>
  </si>
  <si>
    <t>Monthly Uniuque users</t>
  </si>
  <si>
    <t xml:space="preserve">~10 Million </t>
  </si>
  <si>
    <t>Monthly Page View</t>
  </si>
  <si>
    <t>Max Page View</t>
  </si>
  <si>
    <t>1200/sec</t>
  </si>
  <si>
    <t>Concurrent Connections</t>
  </si>
  <si>
    <t>800 per sec</t>
  </si>
  <si>
    <t>Customer</t>
  </si>
  <si>
    <t xml:space="preserve">12 million </t>
  </si>
  <si>
    <t>Products</t>
  </si>
  <si>
    <t xml:space="preserve">1 million </t>
  </si>
  <si>
    <t>Caregories</t>
  </si>
  <si>
    <t>33,000 categories</t>
  </si>
  <si>
    <t xml:space="preserve">order volume per month </t>
  </si>
  <si>
    <t>average order value</t>
  </si>
  <si>
    <t>40000 yem</t>
  </si>
  <si>
    <t xml:space="preserve">Cloud </t>
  </si>
  <si>
    <t>AWS</t>
  </si>
  <si>
    <t>APM &amp; Monitoring</t>
  </si>
  <si>
    <t>Data Dog,  &amp; New Relic</t>
  </si>
  <si>
    <t>Payment</t>
  </si>
  <si>
    <t>Orico</t>
  </si>
  <si>
    <t>Omni Payment Gateway (NTT Data) plan to renew</t>
  </si>
  <si>
    <t>Omakase Bank e</t>
  </si>
  <si>
    <t xml:space="preserve">Contract ends on Sep 2027 - planning to switch </t>
  </si>
  <si>
    <t>InCom Japan</t>
  </si>
  <si>
    <t>Available for mobile payments. Payment inquiries (check payment status), payment applications (refunds).
Request), refund inquiry (reconfirmation of return processing results).</t>
  </si>
  <si>
    <t>MSGW</t>
  </si>
  <si>
    <t>d points integration</t>
  </si>
  <si>
    <t>V Points integration</t>
  </si>
  <si>
    <t>TPJ</t>
  </si>
  <si>
    <t>Rakuten Pay</t>
  </si>
  <si>
    <t>Rakuten Points</t>
  </si>
  <si>
    <t>Will be discontinued in mark 27</t>
  </si>
  <si>
    <t>Search Engine</t>
  </si>
  <si>
    <t>goo Search Solutions</t>
  </si>
  <si>
    <t>NTT Docomo</t>
  </si>
  <si>
    <t>Recommendation Engine</t>
  </si>
  <si>
    <t>dequwas</t>
  </si>
  <si>
    <t>Automatically updates product information once a day. -</t>
  </si>
  <si>
    <t>Fujitsu Japan</t>
  </si>
  <si>
    <t>Electronic gift system</t>
  </si>
  <si>
    <t>Electronic gift balance inquiry, usage
Subtraction coordination.</t>
  </si>
  <si>
    <t>Comminication</t>
  </si>
  <si>
    <t>Media SMS</t>
  </si>
  <si>
    <t>SMS delivery system</t>
  </si>
  <si>
    <t>Yamato Transport</t>
  </si>
  <si>
    <t>Pegasus2 (SB C&amp;S)</t>
  </si>
  <si>
    <t>Downloadable product distribution system</t>
  </si>
  <si>
    <t>EC off-site delivery API (Yamato Transport)</t>
  </si>
  <si>
    <t>Delivery Systems</t>
  </si>
  <si>
    <t>EDION Card Online Application</t>
  </si>
  <si>
    <t>SMCC</t>
  </si>
  <si>
    <t>EDION Card Online Application: API integration for SMCC Online Application</t>
  </si>
  <si>
    <t>Product Distribution</t>
  </si>
  <si>
    <t>Services</t>
  </si>
  <si>
    <t>AppleCare integration</t>
  </si>
  <si>
    <t>Acquisition</t>
  </si>
  <si>
    <t>eBase, JMD</t>
  </si>
  <si>
    <t>Dropshipping</t>
  </si>
  <si>
    <t>Forest Co., Ltd.</t>
  </si>
  <si>
    <t>Only available through Edion Group subsidiary "Forest Co., Ltd." Product information (stock status) is updated once a day. Shipment request
records are also updated.</t>
  </si>
  <si>
    <t>Repair Services</t>
  </si>
  <si>
    <t xml:space="preserve">Multiple API's </t>
  </si>
  <si>
    <t>On-site repair feasibility determination API: Retrieves customer purchase history information. Determines warranty type, warranty coverage,
request category, and customer request code.
- On-site repair request registration API: Performs the on-site repair request registration process.
- On-site repair classification linkage API: Retrieves the list of on-site repair classifications.
- On-site repair symptom linkage API: Retrieves the symptoms of on-site repairs.
- On-site repair manufacturer integration API: Retrieves the manufacturers of products that require on-site repair.
- Health Monitoring API: Calls the API if there is one or more items that qualify for guarantee. If the response is 200, it then calls the subsequent
repair feasibility determination API. If the API fails, it transitions to the error screen.</t>
  </si>
  <si>
    <t>Logistic Systems</t>
  </si>
  <si>
    <t>Yamoto Transport</t>
  </si>
  <si>
    <t>soden</t>
  </si>
  <si>
    <t xml:space="preserve">Thoshiba </t>
  </si>
  <si>
    <t>Primarily used for arranging goods from large delivery centers to various shopping centers and stores.</t>
  </si>
  <si>
    <t>Requested delivery to an area outside the service area and return pickup.</t>
  </si>
  <si>
    <t xml:space="preserve"> I requested delivery and return pickup for small items only.</t>
  </si>
  <si>
    <t>Price.Com</t>
  </si>
  <si>
    <t>Pricing</t>
  </si>
  <si>
    <t>After calling the NEO product information acquisition API, the information is registered in the Price.com Integration Information
Workbook. Then, additional information such as inventory information is retrieved from the core database, and the table is updated. The Price.com
Integration Information Workbook and the Price.com Integration Processing Result History are compared, and automatic Price.com integration is performed
only for items where a difference exists. Operates 24 hours a day. Performed once every hour (unavailable daily from 3:00 AM to 5:00 AM and 3:00 PM
to 3:30 PM due to Price.com maintenance).
- Price research: Web scraping and web crawling s</t>
  </si>
  <si>
    <t>Price Research</t>
  </si>
  <si>
    <t>ShtockData</t>
  </si>
  <si>
    <t>Web scraping and web crawling service "ShtockData" (Keywalker) is used for price maintenance and listing on Kakaku.com. Product
information is sent once a day. After the competitor price extraction process and the price extraction process, the data is analyzed using RPA. (Competitor
price extraction process: LIS1_036 (preparation), LIS1_037 (registration), Price extraction process: LIS1_034 (preparation), LIS1_035 (registration))</t>
  </si>
  <si>
    <t>DFO Premium (Nifty Lifestyle Co., Ltd. *formerly Commerce Link Co., Ltd.). Integration frequency: 9 AM to 12 PM (after price update), 4 AM
to 8 AM (before price update), every hour. Web advertising information is created and integrated based on product information</t>
  </si>
  <si>
    <t>DFO Service</t>
  </si>
  <si>
    <t>DFO Premium</t>
  </si>
  <si>
    <t>SB C&amp;S ÿ core (external integration server) ÿ neosarf</t>
  </si>
  <si>
    <t>Product Catalog</t>
  </si>
  <si>
    <t>Product Search</t>
  </si>
  <si>
    <t>Forest via HULFT integration</t>
  </si>
  <si>
    <t>Product Images</t>
  </si>
  <si>
    <t xml:space="preserve">EDI </t>
  </si>
  <si>
    <t>EDIC, R-VAN</t>
  </si>
  <si>
    <t>Mobile App</t>
  </si>
  <si>
    <t>iOS, Android (Digital membership card, point management, coupons, flyers, push notifications (coupons, news, campaigns) iOS : Swift, Android : JAVA</t>
  </si>
  <si>
    <t>API Gateway</t>
  </si>
  <si>
    <t>Amazon API Gateway</t>
  </si>
  <si>
    <t>Business Logic</t>
  </si>
  <si>
    <t xml:space="preserve">AWS Lamda, Security like JWT Token, Device Token, User information registration </t>
  </si>
  <si>
    <t>BOLTZ Engine</t>
  </si>
  <si>
    <t>Push notification platform</t>
  </si>
  <si>
    <t>Monitoring, some places it is mentioned as newrelic and some places cloud watch? Do they have multiple montioring tools? I have also saw data dog for APM&lt;</t>
  </si>
  <si>
    <t>IAM</t>
  </si>
  <si>
    <t>Keycloak</t>
  </si>
  <si>
    <t>Exclusion</t>
  </si>
  <si>
    <t>Most of RACI and details given is for custom development, are they looking for bespoke applications or product based?</t>
  </si>
  <si>
    <t>IACT tool suggestion should be given by vendor</t>
  </si>
  <si>
    <t>Suggest and encourage the proactive adoption of tools to improve efficiency as needed.</t>
  </si>
  <si>
    <t>Customization</t>
  </si>
  <si>
    <t>Not Available</t>
  </si>
  <si>
    <t>Product List</t>
  </si>
  <si>
    <t>Product Details</t>
  </si>
  <si>
    <t xml:space="preserve">Check Store Inventory </t>
  </si>
  <si>
    <t>Product Review List</t>
  </si>
  <si>
    <t>FC Catalog</t>
  </si>
  <si>
    <t>Product Shelf</t>
  </si>
  <si>
    <t>Order</t>
  </si>
  <si>
    <t>Noshi (Giftwrapping Paper/Wrapping)</t>
  </si>
  <si>
    <t>Installation work</t>
  </si>
  <si>
    <t>Delivery Address</t>
  </si>
  <si>
    <t>Payment &amp; Delivery Date</t>
  </si>
  <si>
    <t xml:space="preserve">Order Confirmation </t>
  </si>
  <si>
    <t>Order Complete Download</t>
  </si>
  <si>
    <t xml:space="preserve">Availability </t>
  </si>
  <si>
    <t>Login</t>
  </si>
  <si>
    <t>Member</t>
  </si>
  <si>
    <t>New Member Registration</t>
  </si>
  <si>
    <t>Password Reset</t>
  </si>
  <si>
    <t>Change Member Information</t>
  </si>
  <si>
    <t>Family Registration Request</t>
  </si>
  <si>
    <t>Secure Membership Registration</t>
  </si>
  <si>
    <t>Linked to Member information</t>
  </si>
  <si>
    <t>Order History</t>
  </si>
  <si>
    <t>Purchase History</t>
  </si>
  <si>
    <t>Delivery Status</t>
  </si>
  <si>
    <t>Receipt Issuance</t>
  </si>
  <si>
    <t>Point Inquiry</t>
  </si>
  <si>
    <t>Repair Status</t>
  </si>
  <si>
    <t>Longterm warranty list</t>
  </si>
  <si>
    <t>change Delivery Address</t>
  </si>
  <si>
    <t>Frequently used stores</t>
  </si>
  <si>
    <t>Secret Sale</t>
  </si>
  <si>
    <t>Favourite Product</t>
  </si>
  <si>
    <t>Inquiry Form</t>
  </si>
  <si>
    <t>Product Review Submission</t>
  </si>
  <si>
    <t>Apple Care Activation Request</t>
  </si>
  <si>
    <t>BackOffice</t>
  </si>
  <si>
    <t xml:space="preserve">Login </t>
  </si>
  <si>
    <t>User Maintenance</t>
  </si>
  <si>
    <t>Mail Template</t>
  </si>
  <si>
    <t>Id Linked maintenance</t>
  </si>
  <si>
    <t>Family Request List</t>
  </si>
  <si>
    <t>Price Update</t>
  </si>
  <si>
    <t>Campaign Registration</t>
  </si>
  <si>
    <t>Coupon Registration</t>
  </si>
  <si>
    <t>Product Review Maintenance</t>
  </si>
  <si>
    <t>Special Feature Page Maintenance</t>
  </si>
  <si>
    <t>Product Group</t>
  </si>
  <si>
    <t>Sales Settings</t>
  </si>
  <si>
    <t>Banner Maintenance Announcements</t>
  </si>
  <si>
    <t>Secret Settings</t>
  </si>
  <si>
    <t>Category Maintenance</t>
  </si>
  <si>
    <t>Employee Discount Sale</t>
  </si>
  <si>
    <t>Order Information Update</t>
  </si>
  <si>
    <t>Sending Email Informaiton</t>
  </si>
  <si>
    <t>Sending Sales Information</t>
  </si>
  <si>
    <t>Various Master Reception</t>
  </si>
  <si>
    <t>Session clear</t>
  </si>
  <si>
    <t>SBB Product Catalog</t>
  </si>
  <si>
    <t>Product Image Registration</t>
  </si>
  <si>
    <t>Synonymn Switching</t>
  </si>
  <si>
    <t>Orico Payment Processing</t>
  </si>
  <si>
    <t>Orico Search Processing</t>
  </si>
  <si>
    <t>Payment Acquisition process</t>
  </si>
  <si>
    <t>Functional</t>
  </si>
  <si>
    <t>Job</t>
  </si>
  <si>
    <t>3rd Party</t>
  </si>
  <si>
    <t>eBase (image)</t>
  </si>
  <si>
    <t>JMD (Image)</t>
  </si>
  <si>
    <t>SB C&amp;S</t>
  </si>
  <si>
    <t>Decuwas (Product Information)</t>
  </si>
  <si>
    <t>Digital Marketing</t>
  </si>
  <si>
    <t>Smart Phone App</t>
  </si>
  <si>
    <t>Mobile</t>
  </si>
  <si>
    <t>Member Site (Existing)</t>
  </si>
  <si>
    <t>Discount Commion Platform (inquiry)</t>
  </si>
  <si>
    <t>SMS Authentication</t>
  </si>
  <si>
    <t>SMS Message</t>
  </si>
  <si>
    <t>IVR Transmission</t>
  </si>
  <si>
    <t>Delivery Locations</t>
  </si>
  <si>
    <t>Lockers, Locker outside your home, Delivery locations</t>
  </si>
  <si>
    <t>Autherization</t>
  </si>
  <si>
    <t>Re-Autherization</t>
  </si>
  <si>
    <t>Sales Confirmed</t>
  </si>
  <si>
    <t>cancel</t>
  </si>
  <si>
    <t>Expiration Date Search</t>
  </si>
  <si>
    <t>Payment Processing (Orico)</t>
  </si>
  <si>
    <t>Payment Processing (Incomm)</t>
  </si>
  <si>
    <t>PayPay Balance</t>
  </si>
  <si>
    <t>PayPay Sales Confirmed</t>
  </si>
  <si>
    <t>PayPay Cancellation</t>
  </si>
  <si>
    <t>Omaske bank account</t>
  </si>
  <si>
    <t>Payment Information</t>
  </si>
  <si>
    <t>Bank</t>
  </si>
  <si>
    <t>Pickup Request</t>
  </si>
  <si>
    <t>Yamoto</t>
  </si>
  <si>
    <t>Key Walker</t>
  </si>
  <si>
    <t>JAN Code</t>
  </si>
  <si>
    <t>Price Information</t>
  </si>
  <si>
    <t>Kakaku.com</t>
  </si>
  <si>
    <t>Target JAN Code</t>
  </si>
  <si>
    <t>Web Ad Information</t>
  </si>
  <si>
    <t>OMS</t>
  </si>
  <si>
    <t>Order Confirmed</t>
  </si>
  <si>
    <t>Order Sales</t>
  </si>
  <si>
    <t>Sales Information to grant points</t>
  </si>
  <si>
    <t>EC Resistent STS updates</t>
  </si>
  <si>
    <t>EC Resistent Terminate instruction</t>
  </si>
  <si>
    <t>Shipping Management</t>
  </si>
  <si>
    <t>Receipt of Shipment Information</t>
  </si>
  <si>
    <t>Summary of Return and Received shipment record</t>
  </si>
  <si>
    <t>Sending Records of successful submission</t>
  </si>
  <si>
    <t xml:space="preserve">Successful soden transmission </t>
  </si>
  <si>
    <t>Drop History</t>
  </si>
  <si>
    <t>Order Management</t>
  </si>
  <si>
    <t>Performance Evaluation</t>
  </si>
  <si>
    <t>Sales Details to customer acquisition at our store</t>
  </si>
  <si>
    <t>Details of purchase and returns involved</t>
  </si>
  <si>
    <t xml:space="preserve">Details of involved moves </t>
  </si>
  <si>
    <t>Master Data Transmission</t>
  </si>
  <si>
    <t>Master data linkage reception</t>
  </si>
  <si>
    <t>Product Price Sync</t>
  </si>
  <si>
    <t>Multi Pop Sync</t>
  </si>
  <si>
    <t>Competitor store price extraction</t>
  </si>
  <si>
    <t>Linked with Kakaku.com</t>
  </si>
  <si>
    <t>DFO Integration</t>
  </si>
  <si>
    <t>Intersect Collobaration</t>
  </si>
  <si>
    <t>Dekuwas Collobaration</t>
  </si>
  <si>
    <t>Inventory Master Integration</t>
  </si>
  <si>
    <t>Mall Inventory Settings</t>
  </si>
  <si>
    <t>Store pickup cancellation extraction</t>
  </si>
  <si>
    <t xml:space="preserve">Apple Care Products </t>
  </si>
  <si>
    <t>Cleansing Product Being Prepared</t>
  </si>
  <si>
    <t>Reserved Check</t>
  </si>
  <si>
    <t>Soden Shipping Schedule Creation</t>
  </si>
  <si>
    <t>Payment Status Inquiry</t>
  </si>
  <si>
    <t>Automatic Payment Recociliation</t>
  </si>
  <si>
    <t>Sales Invoice</t>
  </si>
  <si>
    <t>Reautherization Resend</t>
  </si>
  <si>
    <t>Import Orico Result</t>
  </si>
  <si>
    <t>Autherization expire Sent</t>
  </si>
  <si>
    <t>Sales Autherization, cancellation submission</t>
  </si>
  <si>
    <t>Autherization expired, result import</t>
  </si>
  <si>
    <t>Debt Management</t>
  </si>
  <si>
    <t>Master Data</t>
  </si>
  <si>
    <t>Management</t>
  </si>
  <si>
    <t>Automated account entries for e-Commerce sales</t>
  </si>
  <si>
    <t>Reporting</t>
  </si>
  <si>
    <t>EC Sales automatically transferred for other stores</t>
  </si>
  <si>
    <t xml:space="preserve">Ecommerce Internal Invoice </t>
  </si>
  <si>
    <t>Other Account transfer</t>
  </si>
  <si>
    <t>DHW integration</t>
  </si>
  <si>
    <t>Capability</t>
  </si>
  <si>
    <t>Functionality</t>
  </si>
  <si>
    <t>Type</t>
  </si>
  <si>
    <t>(blank)</t>
  </si>
  <si>
    <t>Count of Functionality</t>
  </si>
  <si>
    <t>Integration - Decuwas (Product Information)</t>
  </si>
  <si>
    <t>Integration - SB C&amp;S</t>
  </si>
  <si>
    <t>Integration - JMD (Image)</t>
  </si>
  <si>
    <t>Integration - eBase (image)</t>
  </si>
  <si>
    <t>Job - SBB Product Catalog</t>
  </si>
  <si>
    <t>Job - Various Master Reception</t>
  </si>
  <si>
    <t>Master Data - Cleansing Product Being Prepared</t>
  </si>
  <si>
    <t>Master Data - Multi Pop Sync</t>
  </si>
  <si>
    <t>Master Data - Master data linkage reception</t>
  </si>
  <si>
    <t xml:space="preserve">Performance Evaluation - Details of involved moves </t>
  </si>
  <si>
    <t>Performance Evaluation - Details of purchase and returns involved</t>
  </si>
  <si>
    <t>Performance Evaluation - Sales Details to customer acquisition at our store</t>
  </si>
  <si>
    <t>Shipping Management - Order Management</t>
  </si>
  <si>
    <t>Shipping Management - Drop History</t>
  </si>
  <si>
    <t xml:space="preserve">Shipping Management - Successful soden transmission </t>
  </si>
  <si>
    <t>Shipping Management - Sending Records of successful submission</t>
  </si>
  <si>
    <t>Shipping Management - Summary of Return and Received shipment record</t>
  </si>
  <si>
    <t>Shipping Management - Receipt of Shipment Information</t>
  </si>
  <si>
    <t xml:space="preserve"> - SMCC</t>
  </si>
  <si>
    <t xml:space="preserve"> - Discount Commion Platform (inquiry)</t>
  </si>
  <si>
    <t>Out of Box</t>
  </si>
  <si>
    <t>Calrification Required</t>
  </si>
  <si>
    <t>Total</t>
  </si>
  <si>
    <t>Customizatio</t>
  </si>
  <si>
    <t>Integration &amp; Clarification</t>
  </si>
  <si>
    <t>Integration &amp; Batch</t>
  </si>
  <si>
    <t xml:space="preserve">Integration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</si>
</sst>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Calibri"/>
      <family val="2"/>
    </font>
    <font>
      <sz val="8"/>
      <color rgb="FF000000"/>
      <name val="Helvetica"/>
      <family val="2"/>
    </font>
    <font>
      <b/>
      <sz val="11"/>
      <color rgb="FF000000"/>
      <name val="Helvetica"/>
      <family val="2"/>
    </font>
    <font>
      <sz val="11"/>
      <color theme="0"/>
      <name val="Calibri"/>
      <family val="2"/>
      <scheme val="minor"/>
    </font>
  </fonts>
  <fills count="4">
    <fill>
      <patternFill patternType="none"/>
    </fill>
    <fill>
      <patternFill patternType="gray125"/>
    </fill>
    <fill>
      <patternFill patternType="solid">
        <fgColor rgb="FF1F4E79"/>
      </patternFill>
    </fill>
    <fill>
      <patternFill patternType="solid">
        <fgColor theme="6" tint="-0.499984740745262"/>
        <bgColor indexed="64"/>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0" borderId="0" xfId="0" pivotButton="1"/>
    <xf numFmtId="0" fontId="0" fillId="0" borderId="0" xfId="0" applyAlignment="1">
      <alignment horizontal="left"/>
    </xf>
    <xf numFmtId="0" fontId="0" fillId="0" borderId="0" xfId="0" applyNumberFormat="1"/>
    <xf numFmtId="0" fontId="2" fillId="0" borderId="0" xfId="0" applyFont="1"/>
    <xf numFmtId="0" fontId="0" fillId="0" borderId="0" xfId="0" applyAlignment="1">
      <alignment horizontal="center"/>
    </xf>
    <xf numFmtId="0" fontId="3" fillId="0" borderId="0" xfId="0" applyFont="1" applyAlignment="1">
      <alignment horizontal="center"/>
    </xf>
    <xf numFmtId="0" fontId="0" fillId="0" borderId="0" xfId="0" applyAlignment="1">
      <alignment wrapText="1"/>
    </xf>
    <xf numFmtId="0" fontId="0" fillId="0" borderId="0" xfId="0" applyAlignment="1"/>
    <xf numFmtId="10" fontId="0" fillId="0" borderId="0" xfId="0" applyNumberFormat="1" applyAlignment="1">
      <alignment wrapText="1"/>
    </xf>
    <xf numFmtId="9" fontId="0" fillId="0" borderId="0" xfId="0" applyNumberFormat="1" applyAlignment="1">
      <alignment wrapText="1"/>
    </xf>
    <xf numFmtId="0" fontId="0" fillId="0" borderId="2" xfId="0" applyBorder="1"/>
    <xf numFmtId="0" fontId="4" fillId="3" borderId="2"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nan Ramakrishnan" refreshedDate="46120.602265162037" createdVersion="8" refreshedVersion="8" minRefreshableVersion="3" recordCount="50" xr:uid="{24EEC896-6167-5D41-9764-1F758E689158}">
  <cacheSource type="worksheet">
    <worksheetSource ref="A1:J51" sheet="Functional_Gap_Matrix"/>
  </cacheSource>
  <cacheFields count="10">
    <cacheField name="Req_ID" numFmtId="0">
      <sharedItems/>
    </cacheField>
    <cacheField name="RFP_Reference" numFmtId="0">
      <sharedItems/>
    </cacheField>
    <cacheField name="Classification" numFmtId="0">
      <sharedItems/>
    </cacheField>
    <cacheField name="Requirement_Summary" numFmtId="0">
      <sharedItems/>
    </cacheField>
    <cacheField name="Java_Availability" numFmtId="0">
      <sharedItems/>
    </cacheField>
    <cacheField name="Java_Notes_Evidence" numFmtId="0">
      <sharedItems/>
    </cacheField>
    <cacheField name="Medusa_Availability" numFmtId="0">
      <sharedItems count="12">
        <s v="Customization"/>
        <s v="Partial"/>
        <s v="Available"/>
        <s v="Integration"/>
        <s v="Not Available"/>
        <s v="N/A" u="1"/>
        <s v="Not in workspace" u="1"/>
        <s v="Bypassed" u="1"/>
        <s v="Coexists" u="1"/>
        <s v="Shared DB" u="1"/>
        <s v="Separate" u="1"/>
        <s v="Not observed" u="1"/>
      </sharedItems>
    </cacheField>
    <cacheField name="Medusa_Notes_Evidence" numFmtId="0">
      <sharedItems/>
    </cacheField>
    <cacheField name="Storefront_NextJS_Other" numFmtId="0">
      <sharedItems/>
    </cacheField>
    <cacheField name="Overall_Assessmen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nnan Ramakrishnan" refreshedDate="46120.864756828705" createdVersion="8" refreshedVersion="8" minRefreshableVersion="3" recordCount="133" xr:uid="{BF1243F9-D11E-1845-AC5D-71C392081C31}">
  <cacheSource type="worksheet">
    <worksheetSource ref="A2:D135" sheet="scope"/>
  </cacheSource>
  <cacheFields count="4">
    <cacheField name="Type" numFmtId="0">
      <sharedItems/>
    </cacheField>
    <cacheField name="Capability" numFmtId="0">
      <sharedItems containsBlank="1" count="23">
        <s v="Product Shelf"/>
        <s v="Order"/>
        <s v="Member"/>
        <s v="BackOffice"/>
        <s v="Job"/>
        <s v="Integration"/>
        <s v="Mobile"/>
        <m/>
        <s v="SMS Authentication"/>
        <s v="Delivery Locations"/>
        <s v="Payment Processing (Orico)"/>
        <s v="Payment Processing (Incomm)"/>
        <s v="Bank"/>
        <s v="Pickup Request"/>
        <s v="Key Walker"/>
        <s v="Kakaku.com"/>
        <s v="DFO Service"/>
        <s v="OMS"/>
        <s v="Shipping Management"/>
        <s v="Performance Evaluation"/>
        <s v="Master Data"/>
        <s v="Debt Management"/>
        <s v="Management"/>
      </sharedItems>
    </cacheField>
    <cacheField name="Functionality" numFmtId="0">
      <sharedItems containsBlank="1"/>
    </cacheField>
    <cacheField name="Availability " numFmtId="0">
      <sharedItems count="8">
        <s v="Out of Box"/>
        <s v="Partial"/>
        <s v="Customization"/>
        <s v="Integration"/>
        <s v="Calrification Required"/>
        <s v="Yes" u="1"/>
        <s v="??" u="1"/>
        <s v="Reporting"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FR-001"/>
    <s v="6.1 / 6.2 intro"/>
    <s v="Policy"/>
    <s v="Retain EDION-exclusive EC features after renewal (in principle)"/>
    <s v="N/A"/>
    <s v="Business-specific; not modeled in generic UC repo"/>
    <x v="0"/>
    <s v="Platform extensible via custom modules"/>
    <s v="Brand-specific UI/content"/>
    <s v="GAP — requires EDION-specific build-out"/>
  </r>
  <r>
    <s v="FR-002"/>
    <s v="6.2 intro"/>
    <s v="Policy"/>
    <s v="Remove: Multiple delivery addresses in a single order (cost-effectiveness)"/>
    <s v="N/A"/>
    <s v="Policy decision"/>
    <x v="1"/>
    <s v="Medusa can support multi-shipment; must be constrained by design"/>
    <s v="Checkout UX"/>
    <s v="CONFIG/GAP — enforce single-shipment if required"/>
  </r>
  <r>
    <s v="FR-003"/>
    <s v="6.2 intro"/>
    <s v="Policy"/>
    <s v="Order modification after order placed"/>
    <s v="Not in workspace"/>
    <s v="No Java order-edit API observed"/>
    <x v="2"/>
    <s v="Medusa v2 order flows exist; admin edit not cataloged in this review"/>
    <s v="N/A"/>
    <s v="GAP — needs explicit workflow"/>
  </r>
  <r>
    <s v="FR-004"/>
    <s v="6.2 intro"/>
    <s v="EC Storefront"/>
    <s v="Product request for items not found in search"/>
    <s v="Not in workspace"/>
    <s v="No product-request workflow"/>
    <x v="0"/>
    <s v="No custom module"/>
    <s v="N/A"/>
    <s v="GAP"/>
  </r>
  <r>
    <s v="FR-005"/>
    <s v="6.2 intro"/>
    <s v="EC Storefront"/>
    <s v="Guest purchase without member registration"/>
    <s v="Partial"/>
    <s v="customer-service email/pass; guest = cart without account"/>
    <x v="2"/>
    <s v="Medusa guest checkout when configured"/>
    <s v="Storefront"/>
    <s v="LIKELY COVERED — verify end-to-end"/>
  </r>
  <r>
    <s v="FR-006"/>
    <s v="6.2 intro"/>
    <s v="UX Policy"/>
    <s v="Target UI/UX alignment with yodobashi.com"/>
    <s v="N/A"/>
    <s v="N/A"/>
    <x v="0"/>
    <s v="N/A"/>
    <s v="Grocery-focused template"/>
    <s v="GAP — not Yodobashi-equivalent"/>
  </r>
  <r>
    <s v="FR-007"/>
    <s v="6.2.1"/>
    <s v="Innovation"/>
    <s v="Agent commerce (external agents + in-site shopping agents)"/>
    <s v="Not in workspace"/>
    <s v="No agent APIs"/>
    <x v="0"/>
    <s v="None"/>
    <s v="N/A"/>
    <s v="GAP"/>
  </r>
  <r>
    <s v="FR-008"/>
    <s v="6.2.1"/>
    <s v="Architecture"/>
    <s v="Horizontal platform: shared backend, swappable frontends"/>
    <s v="Partial"/>
    <s v="Java microservices + shared Postgres with Medusa"/>
    <x v="1"/>
    <s v="Medusa commerce core + middleware delegation to Java"/>
    <s v="Next.js"/>
    <s v="PARTIAL — aligns with RFP direction"/>
  </r>
  <r>
    <s v="FR-009"/>
    <s v="6.2.1"/>
    <s v="Integration"/>
    <s v="Catalog mall punch-out (JR Tokai) — RFP marks Delete"/>
    <s v="Not in workspace"/>
    <s v="N/A"/>
    <x v="3"/>
    <s v="N/A"/>
    <s v="N/A"/>
    <s v="OUT OF SCOPE (deleted per RFP)"/>
  </r>
  <r>
    <s v="FR-010"/>
    <s v="6.2.2"/>
    <s v="EC Admin"/>
    <s v="Admin supporting new storefront features (web on core)"/>
    <s v="Partial"/>
    <s v="admin-dashboard, products admin write/export"/>
    <x v="2"/>
    <s v="Medusa Admin + custom routes (promotions, recipes, …)"/>
    <s v="N/A"/>
    <s v="PARTIAL — &lt;&lt; EDION ECBO scope"/>
  </r>
  <r>
    <s v="FR-011"/>
    <s v="6.2.2"/>
    <s v="EC Admin"/>
    <s v="Align other admin with yodobashi-style where suitable"/>
    <s v="N/A"/>
    <s v="N/A"/>
    <x v="0"/>
    <s v="N/A"/>
    <s v="N/A"/>
    <s v="GAP"/>
  </r>
  <r>
    <s v="FR-012"/>
    <s v="6.2.2"/>
    <s v="Smartphone"/>
    <s v="Native app checkout (not WebView-only)"/>
    <s v="N/A"/>
    <s v="N/A"/>
    <x v="4"/>
    <s v="APIs exist"/>
    <s v="No RN/Flutter app in repo"/>
    <s v="GAP — no mobile app"/>
  </r>
  <r>
    <s v="FR-013"/>
    <s v="6.2.3"/>
    <s v="Batch"/>
    <s v="EC batch jobs (only necessary)"/>
    <s v="Not in workspace"/>
    <s v="No JobCenter/JP1-style jobs"/>
    <x v="1"/>
    <s v="No RFP batch list implemented"/>
    <s v="N/A"/>
    <s v="GAP"/>
  </r>
  <r>
    <s v="FR-014"/>
    <s v="6.2.4"/>
    <s v="Smartphone"/>
    <s v="Retain smartphone app feature set post-renewal"/>
    <s v="N/A"/>
    <s v="N/A"/>
    <x v="4"/>
    <s v="N/A"/>
    <s v="No Edion app"/>
    <s v="GAP"/>
  </r>
  <r>
    <s v="FR-015"/>
    <s v="6.2.4"/>
    <s v="Smartphone"/>
    <s v="Core Noh as web application"/>
    <s v="N/A"/>
    <s v="N/A"/>
    <x v="4"/>
    <s v="N/A"/>
    <s v="PWA possible"/>
    <s v="PARTIAL"/>
  </r>
  <r>
    <s v="FR-016"/>
    <s v="6.2.5"/>
    <s v="App Admin"/>
    <s v="App management on core (web)"/>
    <s v="Not in workspace"/>
    <s v="RBAC/products only"/>
    <x v="4"/>
    <s v="Limited admin APIs"/>
    <s v="N/A"/>
    <s v="GAP — no app CMS"/>
  </r>
  <r>
    <s v="FR-017"/>
    <s v="6.2.6"/>
    <s v="Batch"/>
    <s v="App batch (push, coins, …)"/>
    <s v="Not in workspace"/>
    <s v="None"/>
    <x v="4"/>
    <s v="None"/>
    <s v="N/A"/>
    <s v="GAP"/>
  </r>
  <r>
    <s v="FR-018"/>
    <s v="6.2.7"/>
    <s v="OMO Hub"/>
    <s v="Hub: stores + EC + marketing seamless access"/>
    <s v="Not in workspace"/>
    <s v="No loyalty/OMO"/>
    <x v="4"/>
    <s v="Commerce only"/>
    <s v="N/A"/>
    <s v="GAP"/>
  </r>
  <r>
    <s v="FR-019"/>
    <s v="6.2.7"/>
    <s v="Architecture"/>
    <s v="Mix of new platform (other project) + existing platforms"/>
    <s v="Partial"/>
    <s v="HTTP microservices pattern"/>
    <x v="2"/>
    <s v="Medusa v2 modular"/>
    <s v="N/A"/>
    <s v="ALIGNS at pattern level"/>
  </r>
  <r>
    <s v="FR-020"/>
    <s v="4.2.3 / 6.3.8"/>
    <s v="EC Storefront"/>
    <s v="Browse, PDP, cart, checkout"/>
    <s v="Partial"/>
    <s v="products-service + cart-service"/>
    <x v="2"/>
    <s v="Medusa orders/payments when used"/>
    <s v="Next.js storefront"/>
    <s v="COVERED for reference commerce"/>
  </r>
  <r>
    <s v="FR-021"/>
    <s v="4.2.3"/>
    <s v="Search"/>
    <s v="Product search (AS-IS: goo Search class)"/>
    <s v="Available"/>
    <s v="search-service GET /search"/>
    <x v="2"/>
    <s v="Catalog search proxied to Java"/>
    <s v="Algolia optional (Next.js)"/>
    <s v="PARTIAL — dual paths"/>
  </r>
  <r>
    <s v="FR-022"/>
    <s v="6.3.8"/>
    <s v="Search UX"/>
    <s v="Autocomplete, facets, filters"/>
    <s v="Partial"/>
    <s v="Java: q, price, category, collection"/>
    <x v="2"/>
    <s v="Java-backed"/>
    <s v="Algolia InstantSearch if env set"/>
    <s v="PARTIAL"/>
  </r>
  <r>
    <s v="FR-023"/>
    <s v="6.3.8"/>
    <s v="Search UX"/>
    <s v="No-results handling + product request"/>
    <s v="Not in workspace"/>
    <s v="Basic search"/>
    <x v="2"/>
    <s v="None"/>
    <s v="Algolia may help"/>
    <s v="GAP"/>
  </r>
  <r>
    <s v="FR-024"/>
    <s v="4.2.12"/>
    <s v="Payments"/>
    <s v="JP PSPs: Orico, bank transfer, Incom mobile, etc."/>
    <s v="Not in workspace"/>
    <s v="None"/>
    <x v="3"/>
    <s v="Stripe/Medusa providers"/>
    <s v="Stripe UI"/>
    <s v="GAP for JP stack"/>
  </r>
  <r>
    <s v="FR-025"/>
    <s v="4.2.12"/>
    <s v="Loyalty"/>
    <s v="d-point, V-point, Rakuten integration"/>
    <s v="Not in workspace"/>
    <s v="None"/>
    <x v="3"/>
    <s v="None"/>
    <s v="N/A"/>
    <s v="GAP"/>
  </r>
  <r>
    <s v="FR-026"/>
    <s v="4.2.12"/>
    <s v="Personalization"/>
    <s v="Recommendation engine (dequwas-class)"/>
    <s v="Not in workspace"/>
    <s v="None"/>
    <x v="3"/>
    <s v="None"/>
    <s v="N/A"/>
    <s v="GAP"/>
  </r>
  <r>
    <s v="FR-027"/>
    <s v="4.2.12"/>
    <s v="Logistics"/>
    <s v="Yamato, large-item, dropshipping"/>
    <s v="Not in workspace"/>
    <s v="None"/>
    <x v="3"/>
    <s v="Generic fulfillment"/>
    <s v="N/A"/>
    <s v="GAP"/>
  </r>
  <r>
    <s v="FR-028"/>
    <s v="4.2.12"/>
    <s v="Service"/>
    <s v="On-site repair / warranty APIs"/>
    <s v="Not in workspace"/>
    <s v="None"/>
    <x v="0"/>
    <s v="None"/>
    <s v="N/A"/>
    <s v="GAP"/>
  </r>
  <r>
    <s v="FR-029"/>
    <s v="4.2.12"/>
    <s v="Digital"/>
    <s v="E-gifts, downloadable products"/>
    <s v="Not in workspace"/>
    <s v="None"/>
    <x v="3"/>
    <s v="Not verified"/>
    <s v="N/A"/>
    <s v="GAP"/>
  </r>
  <r>
    <s v="FR-030"/>
    <s v="4.2.12"/>
    <s v="Auth"/>
    <s v="SMS OTP login (MediaSMS-class)"/>
    <s v="Not in workspace"/>
    <s v="Email/pass only in customer-service"/>
    <x v="2"/>
    <s v="No SMS route"/>
    <s v="N/A"/>
    <s v="GAP"/>
  </r>
  <r>
    <s v="FR-031"/>
    <s v="4.3.3"/>
    <s v="Member App"/>
    <s v="Digital membership card + points"/>
    <s v="Not in workspace"/>
    <s v="None"/>
    <x v="0"/>
    <s v="None"/>
    <s v="N/A"/>
    <s v="GAP"/>
  </r>
  <r>
    <s v="FR-032"/>
    <s v="4.3.3"/>
    <s v="Member App"/>
    <s v="Coupons, coins, campaigns, push"/>
    <s v="Not in workspace"/>
    <s v="None"/>
    <x v="3"/>
    <s v="admin/promotions middleware"/>
    <s v="N/A"/>
    <s v="GAP"/>
  </r>
  <r>
    <s v="FR-033"/>
    <s v="4.3.3"/>
    <s v="Member App"/>
    <s v="Barcode / NFC / QR product scan"/>
    <s v="Not in workspace"/>
    <s v="None"/>
    <x v="0"/>
    <s v="None"/>
    <s v="N/A"/>
    <s v="GAP"/>
  </r>
  <r>
    <s v="FR-034"/>
    <s v="4.3.4"/>
    <s v="App CMS"/>
    <s v="Banners, news, push CMS, coupon CSV, category order"/>
    <s v="Not in workspace"/>
    <s v="None"/>
    <x v="3"/>
    <s v="None"/>
    <s v="N/A"/>
    <s v="GAP"/>
  </r>
  <r>
    <s v="FR-035"/>
    <s v="4.3.6"/>
    <s v="API"/>
    <s v="Edion app API surface (member, coin, coupon, store, content)"/>
    <s v="Partial"/>
    <s v="customer + store data partial"/>
    <x v="1"/>
    <s v="store-locator, subscriptions routes"/>
    <s v="N/A"/>
    <s v="MAJOR GAP vs Edion"/>
  </r>
  <r>
    <s v="FR-036"/>
    <s v="UC demo"/>
    <s v="Custom"/>
    <s v="Physical store locator"/>
    <s v="Not in workspace"/>
    <s v="None"/>
    <x v="2"/>
    <s v="module store-locator + /store/store-locations"/>
    <s v="Leaflet"/>
    <s v="COVERED"/>
  </r>
  <r>
    <s v="FR-037"/>
    <s v="UC demo"/>
    <s v="Custom"/>
    <s v="Recipe module (grocery domain)"/>
    <s v="Not in workspace"/>
    <s v="None"/>
    <x v="2"/>
    <s v="recipe module + /store/recipes"/>
    <s v="Storefront pages"/>
    <s v="COVERED — not CE retail"/>
  </r>
  <r>
    <s v="FR-038"/>
    <s v="UC demo"/>
    <s v="Subscriptions"/>
    <s v="Subscription pause/resume/skip/cancel APIs"/>
    <s v="Not in workspace"/>
    <s v="None"/>
    <x v="2"/>
    <s v="src/api/store/customers/me/subscriptions/**"/>
    <s v="Wire in UI"/>
    <s v="PARTIAL"/>
  </r>
  <r>
    <s v="FR-039"/>
    <s v="Architecture"/>
    <s v="Catalog API"/>
    <s v="Medusa-shaped store products from Java"/>
    <s v="Available"/>
    <s v="ProductsController /store/products"/>
    <x v="2"/>
    <s v="middleware blocks Medusa /store/products*"/>
    <s v="JAVA_URL"/>
    <s v="COVERED"/>
  </r>
  <r>
    <s v="FR-040"/>
    <s v="Architecture"/>
    <s v="Admin catalog"/>
    <s v="Product/variant CRUD, inventory kit"/>
    <s v="Available"/>
    <s v="AdminProductWriteController, inventory endpoints"/>
    <x v="2"/>
    <s v="Writes via Java"/>
    <s v="Dashboard"/>
    <s v="COVERED"/>
  </r>
  <r>
    <s v="FR-041"/>
    <s v="Architecture"/>
    <s v="Bulk export"/>
    <s v="Async product export CSV"/>
    <s v="Available"/>
    <s v="AdminProductExportController"/>
    <x v="2"/>
    <s v="N/A"/>
    <s v="Dashboard"/>
    <s v="COVERED"/>
  </r>
  <r>
    <s v="FR-042"/>
    <s v="Architecture"/>
    <s v="Bulk import"/>
    <s v="Batch product create (CSV→JSON pipeline)"/>
    <s v="Available"/>
    <s v="POST /admin/products/batch in AdminProductWriteController"/>
    <x v="2"/>
    <s v="N/A"/>
    <s v="Import UI"/>
    <s v="COVERED"/>
  </r>
  <r>
    <s v="FR-043"/>
    <s v="Architecture"/>
    <s v="Cart"/>
    <s v="Cart + complete (Medusa-compatible paths)"/>
    <s v="Available"/>
    <s v="cart-service CartController"/>
    <x v="2"/>
    <s v="middleware /store/carts* → Java"/>
    <s v="Storefront"/>
    <s v="COVERED"/>
  </r>
  <r>
    <s v="FR-044"/>
    <s v="Architecture"/>
    <s v="Account"/>
    <s v="Register/login/reset password"/>
    <s v="Available"/>
    <s v="customer-service AuthController"/>
    <x v="2"/>
    <s v="Medusa auth possible"/>
    <s v="SDK"/>
    <s v="COVERED email/pass"/>
  </r>
  <r>
    <s v="FR-045"/>
    <s v="Architecture"/>
    <s v="Account"/>
    <s v="Saved addresses"/>
    <s v="Available"/>
    <s v="CustomerController addresses"/>
    <x v="2"/>
    <s v="Medusa customer tables"/>
    <s v="Account"/>
    <s v="COVERED"/>
  </r>
  <r>
    <s v="FR-046"/>
    <s v="Architecture"/>
    <s v="Taxonomy"/>
    <s v="Categories &amp; collections"/>
    <s v="Available"/>
    <s v="categories-service, collections-service"/>
    <x v="2"/>
    <s v="Similar delegation pattern"/>
    <s v="Storefront"/>
    <s v="COVERED"/>
  </r>
  <r>
    <s v="FR-047"/>
    <s v="Architecture"/>
    <s v="Admin RBAC"/>
    <s v="Invites, users, roles, policies"/>
    <s v="Available"/>
    <s v="admin-rbac-service"/>
    <x v="2"/>
    <s v="Not full Medusa admin RBAC merge"/>
    <s v="Dashboard"/>
    <s v="COVERED for UC admin"/>
  </r>
  <r>
    <s v="FR-048"/>
    <s v="6.3.8"/>
    <s v="A11y"/>
    <s v="WCAG 2.2 AA"/>
    <s v="N/A"/>
    <s v="N/A"/>
    <x v="1"/>
    <s v="N/A"/>
    <s v="Not verified"/>
    <s v="GAP — audit needed"/>
  </r>
  <r>
    <s v="FR-049"/>
    <s v="6.3.8"/>
    <s v="UX"/>
    <s v="Fixed search, breadcrumbs, live stock/ETA"/>
    <s v="N/A"/>
    <s v="N/A"/>
    <x v="2"/>
    <s v="N/A"/>
    <s v="Partial template"/>
    <s v="PARTIAL GAP"/>
  </r>
  <r>
    <s v="FR-050"/>
    <s v="6.3.8"/>
    <s v="UX"/>
    <s v="JP postal code address lookup"/>
    <s v="Not in workspace"/>
    <s v="None"/>
    <x v="2"/>
    <s v="Not observed"/>
    <s v="External API TBD"/>
    <s v="GAP"/>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Functional"/>
    <x v="0"/>
    <s v="Product Search"/>
    <x v="0"/>
  </r>
  <r>
    <s v="Functional"/>
    <x v="0"/>
    <s v="Product List"/>
    <x v="0"/>
  </r>
  <r>
    <s v="Functional"/>
    <x v="0"/>
    <s v="Product Details"/>
    <x v="0"/>
  </r>
  <r>
    <s v="Functional"/>
    <x v="0"/>
    <s v="Check Store Inventory "/>
    <x v="0"/>
  </r>
  <r>
    <s v="Functional"/>
    <x v="0"/>
    <s v="Product Review List"/>
    <x v="0"/>
  </r>
  <r>
    <s v="Functional"/>
    <x v="0"/>
    <s v="FC Catalog"/>
    <x v="0"/>
  </r>
  <r>
    <s v="Functional"/>
    <x v="1"/>
    <s v="Cart"/>
    <x v="0"/>
  </r>
  <r>
    <s v="Functional"/>
    <x v="1"/>
    <s v="Noshi (Giftwrapping Paper/Wrapping)"/>
    <x v="1"/>
  </r>
  <r>
    <s v="Functional"/>
    <x v="1"/>
    <s v="Installation work"/>
    <x v="2"/>
  </r>
  <r>
    <s v="Functional"/>
    <x v="1"/>
    <s v="Delivery Address"/>
    <x v="0"/>
  </r>
  <r>
    <s v="Functional"/>
    <x v="1"/>
    <s v="Payment &amp; Delivery Date"/>
    <x v="0"/>
  </r>
  <r>
    <s v="Functional"/>
    <x v="1"/>
    <s v="Order Confirmation "/>
    <x v="0"/>
  </r>
  <r>
    <s v="Functional"/>
    <x v="1"/>
    <s v="Order Complete Download"/>
    <x v="0"/>
  </r>
  <r>
    <s v="Functional"/>
    <x v="2"/>
    <s v="Login"/>
    <x v="0"/>
  </r>
  <r>
    <s v="Functional"/>
    <x v="2"/>
    <s v="New Member Registration"/>
    <x v="0"/>
  </r>
  <r>
    <s v="Functional"/>
    <x v="2"/>
    <s v="Password Reset"/>
    <x v="0"/>
  </r>
  <r>
    <s v="Functional"/>
    <x v="2"/>
    <s v="Change Member Information"/>
    <x v="0"/>
  </r>
  <r>
    <s v="Functional"/>
    <x v="2"/>
    <s v="Family Registration Request"/>
    <x v="1"/>
  </r>
  <r>
    <s v="Functional"/>
    <x v="2"/>
    <s v="Secure Membership Registration"/>
    <x v="2"/>
  </r>
  <r>
    <s v="Functional"/>
    <x v="2"/>
    <s v="Linked to Member information"/>
    <x v="2"/>
  </r>
  <r>
    <s v="Functional"/>
    <x v="2"/>
    <s v="Order History"/>
    <x v="0"/>
  </r>
  <r>
    <s v="Functional"/>
    <x v="2"/>
    <s v="Purchase History"/>
    <x v="0"/>
  </r>
  <r>
    <s v="Functional"/>
    <x v="2"/>
    <s v="Delivery Status"/>
    <x v="0"/>
  </r>
  <r>
    <s v="Functional"/>
    <x v="2"/>
    <s v="Receipt Issuance"/>
    <x v="0"/>
  </r>
  <r>
    <s v="Functional"/>
    <x v="2"/>
    <s v="Point Inquiry"/>
    <x v="3"/>
  </r>
  <r>
    <s v="Functional"/>
    <x v="2"/>
    <s v="Repair Status"/>
    <x v="2"/>
  </r>
  <r>
    <s v="Functional"/>
    <x v="2"/>
    <s v="Longterm warranty list"/>
    <x v="2"/>
  </r>
  <r>
    <s v="Functional"/>
    <x v="2"/>
    <s v="change Delivery Address"/>
    <x v="0"/>
  </r>
  <r>
    <s v="Functional"/>
    <x v="2"/>
    <s v="Frequently used stores"/>
    <x v="2"/>
  </r>
  <r>
    <s v="Functional"/>
    <x v="2"/>
    <s v="Secret Sale"/>
    <x v="2"/>
  </r>
  <r>
    <s v="Functional"/>
    <x v="2"/>
    <s v="Favourite Product"/>
    <x v="0"/>
  </r>
  <r>
    <s v="Functional"/>
    <x v="2"/>
    <s v="Inquiry Form"/>
    <x v="2"/>
  </r>
  <r>
    <s v="Functional"/>
    <x v="2"/>
    <s v="Product Review Submission"/>
    <x v="1"/>
  </r>
  <r>
    <s v="Functional"/>
    <x v="2"/>
    <s v="Apple Care Activation Request"/>
    <x v="2"/>
  </r>
  <r>
    <s v="Functional"/>
    <x v="3"/>
    <s v="Login "/>
    <x v="0"/>
  </r>
  <r>
    <s v="Functional"/>
    <x v="3"/>
    <s v="User Maintenance"/>
    <x v="0"/>
  </r>
  <r>
    <s v="Functional"/>
    <x v="3"/>
    <s v="Mail Template"/>
    <x v="0"/>
  </r>
  <r>
    <s v="Functional"/>
    <x v="3"/>
    <s v="Id Linked maintenance"/>
    <x v="2"/>
  </r>
  <r>
    <s v="Functional"/>
    <x v="3"/>
    <s v="Family Request List"/>
    <x v="2"/>
  </r>
  <r>
    <s v="Functional"/>
    <x v="3"/>
    <s v="Price Update"/>
    <x v="0"/>
  </r>
  <r>
    <s v="Functional"/>
    <x v="3"/>
    <s v="Campaign Registration"/>
    <x v="0"/>
  </r>
  <r>
    <s v="Functional"/>
    <x v="3"/>
    <s v="Coupon Registration"/>
    <x v="0"/>
  </r>
  <r>
    <s v="Functional"/>
    <x v="3"/>
    <s v="Product Review Maintenance"/>
    <x v="1"/>
  </r>
  <r>
    <s v="Functional"/>
    <x v="3"/>
    <s v="Special Feature Page Maintenance"/>
    <x v="2"/>
  </r>
  <r>
    <s v="Functional"/>
    <x v="3"/>
    <s v="Product Group"/>
    <x v="0"/>
  </r>
  <r>
    <s v="Functional"/>
    <x v="3"/>
    <s v="Banner Maintenance Announcements"/>
    <x v="0"/>
  </r>
  <r>
    <s v="Functional"/>
    <x v="3"/>
    <s v="Sales Settings"/>
    <x v="0"/>
  </r>
  <r>
    <s v="Functional"/>
    <x v="3"/>
    <s v="Secret Settings"/>
    <x v="2"/>
  </r>
  <r>
    <s v="Functional"/>
    <x v="3"/>
    <s v="Category Maintenance"/>
    <x v="0"/>
  </r>
  <r>
    <s v="Functional"/>
    <x v="3"/>
    <s v="Employee Discount Sale"/>
    <x v="0"/>
  </r>
  <r>
    <s v="Batch"/>
    <x v="4"/>
    <s v="Order Information Update"/>
    <x v="3"/>
  </r>
  <r>
    <s v="Batch"/>
    <x v="4"/>
    <s v="Sending Email Informaiton"/>
    <x v="0"/>
  </r>
  <r>
    <s v="Batch"/>
    <x v="4"/>
    <s v="Sending Sales Information"/>
    <x v="0"/>
  </r>
  <r>
    <s v="Batch"/>
    <x v="4"/>
    <s v="Various Master Reception"/>
    <x v="4"/>
  </r>
  <r>
    <s v="Batch"/>
    <x v="4"/>
    <s v="Session clear"/>
    <x v="0"/>
  </r>
  <r>
    <s v="Batch"/>
    <x v="4"/>
    <s v="SEO"/>
    <x v="0"/>
  </r>
  <r>
    <s v="Batch"/>
    <x v="4"/>
    <s v="SBB Product Catalog"/>
    <x v="4"/>
  </r>
  <r>
    <s v="Batch"/>
    <x v="4"/>
    <s v="Product Image Registration"/>
    <x v="0"/>
  </r>
  <r>
    <s v="Batch"/>
    <x v="4"/>
    <s v="Synonymn Switching"/>
    <x v="2"/>
  </r>
  <r>
    <s v="3rd Party"/>
    <x v="5"/>
    <s v="Orico Payment Processing"/>
    <x v="3"/>
  </r>
  <r>
    <s v="3rd Party"/>
    <x v="5"/>
    <s v="Orico Search Processing"/>
    <x v="3"/>
  </r>
  <r>
    <s v="3rd Party"/>
    <x v="5"/>
    <s v="Payment Acquisition process"/>
    <x v="3"/>
  </r>
  <r>
    <s v="3rd Party"/>
    <x v="5"/>
    <s v="eBase (image)"/>
    <x v="4"/>
  </r>
  <r>
    <s v="3rd Party"/>
    <x v="5"/>
    <s v="JMD (Image)"/>
    <x v="4"/>
  </r>
  <r>
    <s v="3rd Party"/>
    <x v="5"/>
    <s v="SB C&amp;S"/>
    <x v="4"/>
  </r>
  <r>
    <s v="3rd Party"/>
    <x v="5"/>
    <s v="Decuwas (Product Information)"/>
    <x v="4"/>
  </r>
  <r>
    <s v="3rd Party"/>
    <x v="5"/>
    <s v="Digital Marketing"/>
    <x v="3"/>
  </r>
  <r>
    <s v="3rd Party"/>
    <x v="5"/>
    <m/>
    <x v="3"/>
  </r>
  <r>
    <s v="3rd Party"/>
    <x v="5"/>
    <m/>
    <x v="3"/>
  </r>
  <r>
    <s v="Smart Phone App"/>
    <x v="6"/>
    <s v="Member Site (Existing)"/>
    <x v="3"/>
  </r>
  <r>
    <s v="3rd Party"/>
    <x v="7"/>
    <s v="Discount Commion Platform (inquiry)"/>
    <x v="4"/>
  </r>
  <r>
    <s v="3rd Party"/>
    <x v="7"/>
    <s v="SMCC"/>
    <x v="4"/>
  </r>
  <r>
    <s v="3rd Party"/>
    <x v="8"/>
    <s v="SMS Message"/>
    <x v="0"/>
  </r>
  <r>
    <s v="3rd Party"/>
    <x v="7"/>
    <s v="IVR Transmission"/>
    <x v="2"/>
  </r>
  <r>
    <s v="3rd Party"/>
    <x v="9"/>
    <s v="Lockers, Locker outside your home, Delivery locations"/>
    <x v="3"/>
  </r>
  <r>
    <s v="3rd Party"/>
    <x v="10"/>
    <s v="Autherization"/>
    <x v="3"/>
  </r>
  <r>
    <s v="3rd Party"/>
    <x v="10"/>
    <s v="Re-Autherization"/>
    <x v="3"/>
  </r>
  <r>
    <s v="3rd Party"/>
    <x v="10"/>
    <s v="Sales Confirmed"/>
    <x v="3"/>
  </r>
  <r>
    <s v="3rd Party"/>
    <x v="10"/>
    <s v="cancel"/>
    <x v="3"/>
  </r>
  <r>
    <s v="3rd Party"/>
    <x v="10"/>
    <s v="Expiration Date Search"/>
    <x v="3"/>
  </r>
  <r>
    <s v="3rd Party"/>
    <x v="11"/>
    <s v="PayPay Balance"/>
    <x v="3"/>
  </r>
  <r>
    <s v="3rd Party"/>
    <x v="11"/>
    <s v="PayPay Sales Confirmed"/>
    <x v="3"/>
  </r>
  <r>
    <s v="3rd Party"/>
    <x v="11"/>
    <s v="PayPay Cancellation"/>
    <x v="3"/>
  </r>
  <r>
    <s v="3rd Party"/>
    <x v="12"/>
    <s v="Omaske bank account"/>
    <x v="3"/>
  </r>
  <r>
    <s v="3rd Party"/>
    <x v="12"/>
    <s v="Payment Information"/>
    <x v="3"/>
  </r>
  <r>
    <s v="3rd Party"/>
    <x v="13"/>
    <s v="Yamoto"/>
    <x v="3"/>
  </r>
  <r>
    <s v="3rd Party"/>
    <x v="14"/>
    <s v="JAN Code"/>
    <x v="3"/>
  </r>
  <r>
    <s v="3rd Party"/>
    <x v="14"/>
    <s v="Price Information"/>
    <x v="3"/>
  </r>
  <r>
    <s v="3rd Party"/>
    <x v="15"/>
    <s v="Target JAN Code"/>
    <x v="3"/>
  </r>
  <r>
    <s v="3rd Party"/>
    <x v="16"/>
    <s v="Web Ad Information"/>
    <x v="3"/>
  </r>
  <r>
    <s v="Batch"/>
    <x v="17"/>
    <s v="Order Confirmed"/>
    <x v="0"/>
  </r>
  <r>
    <s v="Batch"/>
    <x v="17"/>
    <s v="Order Sales"/>
    <x v="0"/>
  </r>
  <r>
    <s v="Batch"/>
    <x v="17"/>
    <s v="Sales Information to grant points"/>
    <x v="2"/>
  </r>
  <r>
    <s v="Batch"/>
    <x v="17"/>
    <s v="EC Resistent STS updates"/>
    <x v="2"/>
  </r>
  <r>
    <s v="Batch"/>
    <x v="17"/>
    <s v="EC Resistent Terminate instruction"/>
    <x v="2"/>
  </r>
  <r>
    <s v="Batch"/>
    <x v="18"/>
    <s v="Receipt of Shipment Information"/>
    <x v="4"/>
  </r>
  <r>
    <s v="Batch"/>
    <x v="18"/>
    <s v="Summary of Return and Received shipment record"/>
    <x v="4"/>
  </r>
  <r>
    <s v="Batch"/>
    <x v="18"/>
    <s v="Sending Records of successful submission"/>
    <x v="4"/>
  </r>
  <r>
    <s v="Batch"/>
    <x v="18"/>
    <s v="Successful soden transmission "/>
    <x v="4"/>
  </r>
  <r>
    <s v="Batch"/>
    <x v="18"/>
    <s v="Drop History"/>
    <x v="4"/>
  </r>
  <r>
    <s v="Batch"/>
    <x v="18"/>
    <s v="Order Management"/>
    <x v="4"/>
  </r>
  <r>
    <s v="Batch"/>
    <x v="19"/>
    <s v="Sales Details to customer acquisition at our store"/>
    <x v="4"/>
  </r>
  <r>
    <s v="Batch"/>
    <x v="19"/>
    <s v="Details of purchase and returns involved"/>
    <x v="4"/>
  </r>
  <r>
    <s v="Batch"/>
    <x v="19"/>
    <s v="Details of involved moves "/>
    <x v="4"/>
  </r>
  <r>
    <s v="Batch"/>
    <x v="20"/>
    <s v="Master Data Transmission"/>
    <x v="0"/>
  </r>
  <r>
    <s v="Batch"/>
    <x v="20"/>
    <s v="Master data linkage reception"/>
    <x v="4"/>
  </r>
  <r>
    <s v="Batch"/>
    <x v="20"/>
    <s v="Product Price Sync"/>
    <x v="0"/>
  </r>
  <r>
    <s v="Batch"/>
    <x v="20"/>
    <s v="Multi Pop Sync"/>
    <x v="4"/>
  </r>
  <r>
    <s v="Batch"/>
    <x v="20"/>
    <s v="Competitor store price extraction"/>
    <x v="2"/>
  </r>
  <r>
    <s v="Batch"/>
    <x v="20"/>
    <s v="Linked with Kakaku.com"/>
    <x v="3"/>
  </r>
  <r>
    <s v="Batch"/>
    <x v="20"/>
    <s v="DFO Integration"/>
    <x v="3"/>
  </r>
  <r>
    <s v="Batch"/>
    <x v="20"/>
    <s v="Intersect Collobaration"/>
    <x v="3"/>
  </r>
  <r>
    <s v="Batch"/>
    <x v="20"/>
    <s v="Dekuwas Collobaration"/>
    <x v="3"/>
  </r>
  <r>
    <s v="Batch"/>
    <x v="20"/>
    <s v="Inventory Master Integration"/>
    <x v="0"/>
  </r>
  <r>
    <s v="Batch"/>
    <x v="20"/>
    <s v="Mall Inventory Settings"/>
    <x v="2"/>
  </r>
  <r>
    <s v="Batch"/>
    <x v="20"/>
    <s v="Store pickup cancellation extraction"/>
    <x v="0"/>
  </r>
  <r>
    <s v="Batch"/>
    <x v="20"/>
    <s v="Apple Care Products "/>
    <x v="2"/>
  </r>
  <r>
    <s v="Batch"/>
    <x v="20"/>
    <s v="Cleansing Product Being Prepared"/>
    <x v="4"/>
  </r>
  <r>
    <s v="Batch"/>
    <x v="20"/>
    <s v="Reserved Check"/>
    <x v="0"/>
  </r>
  <r>
    <s v="Batch"/>
    <x v="20"/>
    <s v="Soden Shipping Schedule Creation"/>
    <x v="3"/>
  </r>
  <r>
    <s v="Batch"/>
    <x v="21"/>
    <s v="Payment Status Inquiry"/>
    <x v="3"/>
  </r>
  <r>
    <s v="Batch"/>
    <x v="21"/>
    <s v="Automatic Payment Recociliation"/>
    <x v="3"/>
  </r>
  <r>
    <s v="Batch"/>
    <x v="21"/>
    <s v="Sales Invoice"/>
    <x v="1"/>
  </r>
  <r>
    <s v="Batch"/>
    <x v="21"/>
    <s v="Reautherization Resend"/>
    <x v="3"/>
  </r>
  <r>
    <s v="Batch"/>
    <x v="21"/>
    <s v="Import Orico Result"/>
    <x v="3"/>
  </r>
  <r>
    <s v="Batch"/>
    <x v="21"/>
    <s v="Autherization expire Sent"/>
    <x v="3"/>
  </r>
  <r>
    <s v="Batch"/>
    <x v="21"/>
    <s v="Sales Autherization, cancellation submission"/>
    <x v="3"/>
  </r>
  <r>
    <s v="Batch"/>
    <x v="21"/>
    <s v="Autherization expired, result import"/>
    <x v="3"/>
  </r>
  <r>
    <s v="Reporting"/>
    <x v="22"/>
    <s v="Automated account entries for e-Commerce sales"/>
    <x v="1"/>
  </r>
  <r>
    <s v="Reporting"/>
    <x v="22"/>
    <s v="EC Sales automatically transferred for other stores"/>
    <x v="1"/>
  </r>
  <r>
    <s v="Reporting"/>
    <x v="22"/>
    <s v="Ecommerce Internal Invoice "/>
    <x v="1"/>
  </r>
  <r>
    <s v="Reporting"/>
    <x v="22"/>
    <s v="Other Account transfer"/>
    <x v="1"/>
  </r>
  <r>
    <s v="Reporting"/>
    <x v="22"/>
    <s v="DHW integration"/>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A761BA-6565-E345-9D7C-BDE476A7C493}"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0">
    <pivotField dataField="1" showAll="0"/>
    <pivotField showAll="0"/>
    <pivotField showAll="0"/>
    <pivotField showAll="0"/>
    <pivotField showAll="0"/>
    <pivotField showAll="0"/>
    <pivotField axis="axisRow" showAll="0">
      <items count="13">
        <item x="2"/>
        <item m="1" x="7"/>
        <item m="1" x="8"/>
        <item m="1" x="5"/>
        <item m="1" x="6"/>
        <item m="1" x="11"/>
        <item x="1"/>
        <item m="1" x="10"/>
        <item m="1" x="9"/>
        <item x="0"/>
        <item x="3"/>
        <item x="4"/>
        <item t="default"/>
      </items>
    </pivotField>
    <pivotField showAll="0"/>
    <pivotField showAll="0"/>
    <pivotField showAll="0"/>
  </pivotFields>
  <rowFields count="1">
    <field x="6"/>
  </rowFields>
  <rowItems count="6">
    <i>
      <x/>
    </i>
    <i>
      <x v="6"/>
    </i>
    <i>
      <x v="9"/>
    </i>
    <i>
      <x v="10"/>
    </i>
    <i>
      <x v="11"/>
    </i>
    <i t="grand">
      <x/>
    </i>
  </rowItems>
  <colItems count="1">
    <i/>
  </colItems>
  <dataFields count="1">
    <dataField name="Count of Req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CCE2E0-AE14-4142-9521-371E5B4B73E8}"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28" firstHeaderRow="1" firstDataRow="2" firstDataCol="1"/>
  <pivotFields count="4">
    <pivotField showAll="0"/>
    <pivotField axis="axisRow" showAll="0">
      <items count="24">
        <item x="3"/>
        <item x="12"/>
        <item x="21"/>
        <item x="9"/>
        <item x="16"/>
        <item x="5"/>
        <item x="4"/>
        <item x="15"/>
        <item x="14"/>
        <item x="22"/>
        <item x="20"/>
        <item x="2"/>
        <item x="6"/>
        <item x="17"/>
        <item x="1"/>
        <item x="11"/>
        <item x="10"/>
        <item x="19"/>
        <item x="13"/>
        <item x="0"/>
        <item x="18"/>
        <item x="8"/>
        <item x="7"/>
        <item t="default"/>
      </items>
    </pivotField>
    <pivotField dataField="1" showAll="0"/>
    <pivotField axis="axisCol" showAll="0">
      <items count="9">
        <item m="1" x="6"/>
        <item x="2"/>
        <item x="3"/>
        <item m="1" x="7"/>
        <item m="1" x="5"/>
        <item x="0"/>
        <item x="1"/>
        <item x="4"/>
        <item t="default"/>
      </items>
    </pivotField>
  </pivotFields>
  <rowFields count="1">
    <field x="1"/>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3"/>
  </colFields>
  <colItems count="6">
    <i>
      <x v="1"/>
    </i>
    <i>
      <x v="2"/>
    </i>
    <i>
      <x v="5"/>
    </i>
    <i>
      <x v="6"/>
    </i>
    <i>
      <x v="7"/>
    </i>
    <i t="grand">
      <x/>
    </i>
  </colItems>
  <dataFields count="1">
    <dataField name="Count of Functionality"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DFC24-753C-454F-B623-304C233AF0D1}">
  <dimension ref="A3:C9"/>
  <sheetViews>
    <sheetView workbookViewId="0">
      <selection activeCell="F15" sqref="F15"/>
    </sheetView>
  </sheetViews>
  <sheetFormatPr baseColWidth="10" defaultRowHeight="15" x14ac:dyDescent="0.2"/>
  <cols>
    <col min="1" max="1" width="12.1640625" bestFit="1" customWidth="1"/>
    <col min="2" max="2" width="13.5" bestFit="1" customWidth="1"/>
    <col min="3" max="50" width="14.83203125" bestFit="1" customWidth="1"/>
    <col min="51" max="51" width="10" bestFit="1" customWidth="1"/>
  </cols>
  <sheetData>
    <row r="3" spans="1:3" x14ac:dyDescent="0.2">
      <c r="A3" s="3" t="s">
        <v>271</v>
      </c>
      <c r="B3" t="s">
        <v>274</v>
      </c>
    </row>
    <row r="4" spans="1:3" x14ac:dyDescent="0.2">
      <c r="A4" s="4" t="s">
        <v>42</v>
      </c>
      <c r="B4" s="5">
        <v>23</v>
      </c>
    </row>
    <row r="5" spans="1:3" x14ac:dyDescent="0.2">
      <c r="A5" s="4" t="s">
        <v>23</v>
      </c>
      <c r="B5" s="5">
        <v>5</v>
      </c>
    </row>
    <row r="6" spans="1:3" x14ac:dyDescent="0.2">
      <c r="A6" s="4" t="s">
        <v>517</v>
      </c>
      <c r="B6" s="5">
        <v>8</v>
      </c>
    </row>
    <row r="7" spans="1:3" x14ac:dyDescent="0.2">
      <c r="A7" s="4" t="s">
        <v>65</v>
      </c>
      <c r="B7" s="5">
        <v>8</v>
      </c>
      <c r="C7">
        <v>12</v>
      </c>
    </row>
    <row r="8" spans="1:3" x14ac:dyDescent="0.2">
      <c r="A8" s="4" t="s">
        <v>518</v>
      </c>
      <c r="B8" s="5">
        <v>6</v>
      </c>
      <c r="C8">
        <v>14</v>
      </c>
    </row>
    <row r="9" spans="1:3" x14ac:dyDescent="0.2">
      <c r="A9" s="4" t="s">
        <v>272</v>
      </c>
      <c r="B9" s="5">
        <v>50</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408F-114C-D54F-ABD4-DECE728ADA24}">
  <dimension ref="A3:N28"/>
  <sheetViews>
    <sheetView tabSelected="1" workbookViewId="0">
      <selection activeCell="M30" sqref="M30"/>
    </sheetView>
  </sheetViews>
  <sheetFormatPr baseColWidth="10" defaultRowHeight="15" x14ac:dyDescent="0.2"/>
  <cols>
    <col min="1" max="1" width="24.1640625" bestFit="1" customWidth="1"/>
    <col min="2" max="2" width="14.83203125" bestFit="1" customWidth="1"/>
    <col min="3" max="3" width="9.83203125" bestFit="1" customWidth="1"/>
    <col min="4" max="4" width="9" bestFit="1" customWidth="1"/>
    <col min="5" max="5" width="6.1640625" bestFit="1" customWidth="1"/>
    <col min="6" max="6" width="18.1640625" bestFit="1" customWidth="1"/>
    <col min="7" max="7" width="10" bestFit="1" customWidth="1"/>
  </cols>
  <sheetData>
    <row r="3" spans="1:14" x14ac:dyDescent="0.2">
      <c r="A3" s="3" t="s">
        <v>675</v>
      </c>
      <c r="B3" s="3" t="s">
        <v>273</v>
      </c>
    </row>
    <row r="4" spans="1:14" x14ac:dyDescent="0.2">
      <c r="A4" s="3" t="s">
        <v>271</v>
      </c>
      <c r="B4" t="s">
        <v>517</v>
      </c>
      <c r="C4" t="s">
        <v>65</v>
      </c>
      <c r="D4" t="s">
        <v>696</v>
      </c>
      <c r="E4" t="s">
        <v>23</v>
      </c>
      <c r="F4" t="s">
        <v>697</v>
      </c>
      <c r="G4" t="s">
        <v>272</v>
      </c>
    </row>
    <row r="5" spans="1:14" x14ac:dyDescent="0.2">
      <c r="A5" s="4" t="s">
        <v>555</v>
      </c>
      <c r="B5" s="5">
        <v>4</v>
      </c>
      <c r="C5" s="5"/>
      <c r="D5" s="5">
        <v>11</v>
      </c>
      <c r="E5" s="5">
        <v>1</v>
      </c>
      <c r="F5" s="5"/>
      <c r="G5" s="5">
        <v>16</v>
      </c>
      <c r="K5" s="13"/>
      <c r="L5" s="13" t="s">
        <v>698</v>
      </c>
      <c r="M5" s="13">
        <f>GETPIVOTDATA("Functionality",$A$3)</f>
        <v>131</v>
      </c>
      <c r="N5" s="13"/>
    </row>
    <row r="6" spans="1:14" x14ac:dyDescent="0.2">
      <c r="A6" s="4" t="s">
        <v>612</v>
      </c>
      <c r="B6" s="5"/>
      <c r="C6" s="5">
        <v>2</v>
      </c>
      <c r="D6" s="5"/>
      <c r="E6" s="5"/>
      <c r="F6" s="5"/>
      <c r="G6" s="5">
        <v>2</v>
      </c>
      <c r="K6" s="13" t="s">
        <v>701</v>
      </c>
      <c r="L6" s="13" t="s">
        <v>700</v>
      </c>
      <c r="M6" s="13">
        <f>GETPIVOTDATA("Functionality",$A$3,"Availability ","Integration") +GETPIVOTDATA("Functionality",$A$3,"Availability ","Calrification Required")</f>
        <v>55</v>
      </c>
      <c r="N6" s="13"/>
    </row>
    <row r="7" spans="1:14" x14ac:dyDescent="0.2">
      <c r="A7" s="4" t="s">
        <v>662</v>
      </c>
      <c r="B7" s="5"/>
      <c r="C7" s="5">
        <v>7</v>
      </c>
      <c r="D7" s="5"/>
      <c r="E7" s="5">
        <v>1</v>
      </c>
      <c r="F7" s="5"/>
      <c r="G7" s="5">
        <v>8</v>
      </c>
      <c r="K7" s="13" t="s">
        <v>583</v>
      </c>
      <c r="L7" s="13" t="s">
        <v>696</v>
      </c>
      <c r="M7" s="13">
        <v>45</v>
      </c>
      <c r="N7" s="13"/>
    </row>
    <row r="8" spans="1:14" x14ac:dyDescent="0.2">
      <c r="A8" s="4" t="s">
        <v>598</v>
      </c>
      <c r="B8" s="5"/>
      <c r="C8" s="5">
        <v>1</v>
      </c>
      <c r="D8" s="5"/>
      <c r="E8" s="5"/>
      <c r="F8" s="5"/>
      <c r="G8" s="5">
        <v>1</v>
      </c>
      <c r="K8" s="13" t="s">
        <v>583</v>
      </c>
      <c r="L8" s="13" t="s">
        <v>23</v>
      </c>
      <c r="M8" s="13">
        <v>10</v>
      </c>
      <c r="N8" s="13"/>
    </row>
    <row r="9" spans="1:14" x14ac:dyDescent="0.2">
      <c r="A9" s="4" t="s">
        <v>493</v>
      </c>
      <c r="B9" s="5"/>
      <c r="C9" s="5">
        <v>1</v>
      </c>
      <c r="D9" s="5"/>
      <c r="E9" s="5"/>
      <c r="F9" s="5"/>
      <c r="G9" s="5">
        <v>1</v>
      </c>
      <c r="K9" s="13" t="s">
        <v>583</v>
      </c>
      <c r="L9" s="13" t="s">
        <v>699</v>
      </c>
      <c r="M9" s="13">
        <v>21</v>
      </c>
      <c r="N9" s="13"/>
    </row>
    <row r="10" spans="1:14" x14ac:dyDescent="0.2">
      <c r="A10" s="4" t="s">
        <v>65</v>
      </c>
      <c r="B10" s="5"/>
      <c r="C10" s="5">
        <v>4</v>
      </c>
      <c r="D10" s="5"/>
      <c r="E10" s="5"/>
      <c r="F10" s="5">
        <v>4</v>
      </c>
      <c r="G10" s="5">
        <v>8</v>
      </c>
      <c r="K10" s="13"/>
      <c r="L10" s="13"/>
      <c r="M10" s="13"/>
      <c r="N10" s="13"/>
    </row>
    <row r="11" spans="1:14" x14ac:dyDescent="0.2">
      <c r="A11" s="4" t="s">
        <v>584</v>
      </c>
      <c r="B11" s="5">
        <v>1</v>
      </c>
      <c r="C11" s="5">
        <v>1</v>
      </c>
      <c r="D11" s="5">
        <v>5</v>
      </c>
      <c r="E11" s="5"/>
      <c r="F11" s="5">
        <v>2</v>
      </c>
      <c r="G11" s="5">
        <v>9</v>
      </c>
      <c r="K11" s="13"/>
      <c r="L11" s="13"/>
      <c r="M11" s="13"/>
      <c r="N11" s="13"/>
    </row>
    <row r="12" spans="1:14" x14ac:dyDescent="0.2">
      <c r="A12" s="4" t="s">
        <v>618</v>
      </c>
      <c r="B12" s="5"/>
      <c r="C12" s="5">
        <v>1</v>
      </c>
      <c r="D12" s="5"/>
      <c r="E12" s="5"/>
      <c r="F12" s="5"/>
      <c r="G12" s="5">
        <v>1</v>
      </c>
      <c r="K12" s="13" t="s">
        <v>583</v>
      </c>
      <c r="L12" s="13">
        <v>76</v>
      </c>
      <c r="M12" s="13"/>
      <c r="N12" s="14">
        <f>L12/M5%</f>
        <v>58.015267175572518</v>
      </c>
    </row>
    <row r="13" spans="1:14" x14ac:dyDescent="0.2">
      <c r="A13" s="4" t="s">
        <v>615</v>
      </c>
      <c r="B13" s="5"/>
      <c r="C13" s="5">
        <v>2</v>
      </c>
      <c r="D13" s="5"/>
      <c r="E13" s="5"/>
      <c r="F13" s="5"/>
      <c r="G13" s="5">
        <v>2</v>
      </c>
      <c r="K13" s="13" t="s">
        <v>702</v>
      </c>
      <c r="L13" s="13">
        <v>55</v>
      </c>
      <c r="M13" s="13"/>
      <c r="N13" s="13">
        <f>L13/M5%</f>
        <v>41.984732824427482</v>
      </c>
    </row>
    <row r="14" spans="1:14" x14ac:dyDescent="0.2">
      <c r="A14" s="4" t="s">
        <v>664</v>
      </c>
      <c r="B14" s="5"/>
      <c r="C14" s="5"/>
      <c r="D14" s="5"/>
      <c r="E14" s="5">
        <v>5</v>
      </c>
      <c r="F14" s="5"/>
      <c r="G14" s="5">
        <v>5</v>
      </c>
    </row>
    <row r="15" spans="1:14" x14ac:dyDescent="0.2">
      <c r="A15" s="4" t="s">
        <v>663</v>
      </c>
      <c r="B15" s="5">
        <v>3</v>
      </c>
      <c r="C15" s="5">
        <v>5</v>
      </c>
      <c r="D15" s="5">
        <v>5</v>
      </c>
      <c r="E15" s="5"/>
      <c r="F15" s="5">
        <v>3</v>
      </c>
      <c r="G15" s="5">
        <v>16</v>
      </c>
    </row>
    <row r="16" spans="1:14" x14ac:dyDescent="0.2">
      <c r="A16" s="4" t="s">
        <v>534</v>
      </c>
      <c r="B16" s="5">
        <v>8</v>
      </c>
      <c r="C16" s="5">
        <v>1</v>
      </c>
      <c r="D16" s="5">
        <v>10</v>
      </c>
      <c r="E16" s="5">
        <v>2</v>
      </c>
      <c r="F16" s="5"/>
      <c r="G16" s="5">
        <v>21</v>
      </c>
    </row>
    <row r="17" spans="1:7" x14ac:dyDescent="0.2">
      <c r="A17" s="4" t="s">
        <v>592</v>
      </c>
      <c r="B17" s="5"/>
      <c r="C17" s="5">
        <v>1</v>
      </c>
      <c r="D17" s="5"/>
      <c r="E17" s="5"/>
      <c r="F17" s="5"/>
      <c r="G17" s="5">
        <v>1</v>
      </c>
    </row>
    <row r="18" spans="1:7" x14ac:dyDescent="0.2">
      <c r="A18" s="4" t="s">
        <v>621</v>
      </c>
      <c r="B18" s="5">
        <v>3</v>
      </c>
      <c r="C18" s="5"/>
      <c r="D18" s="5">
        <v>2</v>
      </c>
      <c r="E18" s="5"/>
      <c r="F18" s="5"/>
      <c r="G18" s="5">
        <v>5</v>
      </c>
    </row>
    <row r="19" spans="1:7" x14ac:dyDescent="0.2">
      <c r="A19" s="4" t="s">
        <v>525</v>
      </c>
      <c r="B19" s="5">
        <v>1</v>
      </c>
      <c r="C19" s="5"/>
      <c r="D19" s="5">
        <v>5</v>
      </c>
      <c r="E19" s="5">
        <v>1</v>
      </c>
      <c r="F19" s="5"/>
      <c r="G19" s="5">
        <v>7</v>
      </c>
    </row>
    <row r="20" spans="1:7" x14ac:dyDescent="0.2">
      <c r="A20" s="4" t="s">
        <v>606</v>
      </c>
      <c r="B20" s="5"/>
      <c r="C20" s="5">
        <v>3</v>
      </c>
      <c r="D20" s="5"/>
      <c r="E20" s="5"/>
      <c r="F20" s="5"/>
      <c r="G20" s="5">
        <v>3</v>
      </c>
    </row>
    <row r="21" spans="1:7" x14ac:dyDescent="0.2">
      <c r="A21" s="4" t="s">
        <v>605</v>
      </c>
      <c r="B21" s="5"/>
      <c r="C21" s="5">
        <v>5</v>
      </c>
      <c r="D21" s="5"/>
      <c r="E21" s="5"/>
      <c r="F21" s="5"/>
      <c r="G21" s="5">
        <v>5</v>
      </c>
    </row>
    <row r="22" spans="1:7" x14ac:dyDescent="0.2">
      <c r="A22" s="4" t="s">
        <v>634</v>
      </c>
      <c r="B22" s="5"/>
      <c r="C22" s="5"/>
      <c r="D22" s="5"/>
      <c r="E22" s="5"/>
      <c r="F22" s="5">
        <v>3</v>
      </c>
      <c r="G22" s="5">
        <v>3</v>
      </c>
    </row>
    <row r="23" spans="1:7" x14ac:dyDescent="0.2">
      <c r="A23" s="4" t="s">
        <v>613</v>
      </c>
      <c r="B23" s="5"/>
      <c r="C23" s="5">
        <v>1</v>
      </c>
      <c r="D23" s="5"/>
      <c r="E23" s="5"/>
      <c r="F23" s="5"/>
      <c r="G23" s="5">
        <v>1</v>
      </c>
    </row>
    <row r="24" spans="1:7" x14ac:dyDescent="0.2">
      <c r="A24" s="4" t="s">
        <v>524</v>
      </c>
      <c r="B24" s="5"/>
      <c r="C24" s="5"/>
      <c r="D24" s="5">
        <v>6</v>
      </c>
      <c r="E24" s="5"/>
      <c r="F24" s="5"/>
      <c r="G24" s="5">
        <v>6</v>
      </c>
    </row>
    <row r="25" spans="1:7" x14ac:dyDescent="0.2">
      <c r="A25" s="4" t="s">
        <v>627</v>
      </c>
      <c r="B25" s="5"/>
      <c r="C25" s="5"/>
      <c r="D25" s="5"/>
      <c r="E25" s="5"/>
      <c r="F25" s="5">
        <v>6</v>
      </c>
      <c r="G25" s="5">
        <v>6</v>
      </c>
    </row>
    <row r="26" spans="1:7" x14ac:dyDescent="0.2">
      <c r="A26" s="4" t="s">
        <v>595</v>
      </c>
      <c r="B26" s="5"/>
      <c r="C26" s="5"/>
      <c r="D26" s="5">
        <v>1</v>
      </c>
      <c r="E26" s="5"/>
      <c r="F26" s="5"/>
      <c r="G26" s="5">
        <v>1</v>
      </c>
    </row>
    <row r="27" spans="1:7" x14ac:dyDescent="0.2">
      <c r="A27" s="4" t="s">
        <v>674</v>
      </c>
      <c r="B27" s="5">
        <v>1</v>
      </c>
      <c r="C27" s="5"/>
      <c r="D27" s="5"/>
      <c r="E27" s="5"/>
      <c r="F27" s="5">
        <v>2</v>
      </c>
      <c r="G27" s="5">
        <v>3</v>
      </c>
    </row>
    <row r="28" spans="1:7" x14ac:dyDescent="0.2">
      <c r="A28" s="4" t="s">
        <v>272</v>
      </c>
      <c r="B28" s="5">
        <v>21</v>
      </c>
      <c r="C28" s="5">
        <v>35</v>
      </c>
      <c r="D28" s="5">
        <v>45</v>
      </c>
      <c r="E28" s="5">
        <v>10</v>
      </c>
      <c r="F28" s="5">
        <v>20</v>
      </c>
      <c r="G28" s="5">
        <v>131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9AE28-6B7C-5E46-A529-EC77DB5750F5}">
  <dimension ref="A2:D135"/>
  <sheetViews>
    <sheetView workbookViewId="0">
      <selection activeCell="D56" sqref="D56"/>
    </sheetView>
  </sheetViews>
  <sheetFormatPr baseColWidth="10" defaultRowHeight="15" x14ac:dyDescent="0.2"/>
  <cols>
    <col min="2" max="2" width="11.33203125" bestFit="1" customWidth="1"/>
    <col min="3" max="3" width="42.5" bestFit="1" customWidth="1"/>
    <col min="4" max="4" width="10.83203125" customWidth="1"/>
  </cols>
  <sheetData>
    <row r="2" spans="1:4" x14ac:dyDescent="0.2">
      <c r="A2" t="s">
        <v>673</v>
      </c>
      <c r="B2" t="s">
        <v>671</v>
      </c>
      <c r="C2" t="s">
        <v>672</v>
      </c>
      <c r="D2" t="s">
        <v>532</v>
      </c>
    </row>
    <row r="3" spans="1:4" x14ac:dyDescent="0.2">
      <c r="A3" t="s">
        <v>583</v>
      </c>
      <c r="B3" t="s">
        <v>524</v>
      </c>
      <c r="C3" t="s">
        <v>497</v>
      </c>
      <c r="D3" t="s">
        <v>696</v>
      </c>
    </row>
    <row r="4" spans="1:4" x14ac:dyDescent="0.2">
      <c r="A4" t="s">
        <v>583</v>
      </c>
      <c r="B4" t="s">
        <v>524</v>
      </c>
      <c r="C4" t="s">
        <v>519</v>
      </c>
      <c r="D4" t="s">
        <v>696</v>
      </c>
    </row>
    <row r="5" spans="1:4" x14ac:dyDescent="0.2">
      <c r="A5" t="s">
        <v>583</v>
      </c>
      <c r="B5" t="s">
        <v>524</v>
      </c>
      <c r="C5" t="s">
        <v>520</v>
      </c>
      <c r="D5" t="s">
        <v>696</v>
      </c>
    </row>
    <row r="6" spans="1:4" x14ac:dyDescent="0.2">
      <c r="A6" t="s">
        <v>583</v>
      </c>
      <c r="B6" t="s">
        <v>524</v>
      </c>
      <c r="C6" t="s">
        <v>521</v>
      </c>
      <c r="D6" t="s">
        <v>696</v>
      </c>
    </row>
    <row r="7" spans="1:4" x14ac:dyDescent="0.2">
      <c r="A7" t="s">
        <v>583</v>
      </c>
      <c r="B7" t="s">
        <v>524</v>
      </c>
      <c r="C7" t="s">
        <v>522</v>
      </c>
      <c r="D7" t="s">
        <v>696</v>
      </c>
    </row>
    <row r="8" spans="1:4" x14ac:dyDescent="0.2">
      <c r="A8" t="s">
        <v>583</v>
      </c>
      <c r="B8" t="s">
        <v>524</v>
      </c>
      <c r="C8" t="s">
        <v>523</v>
      </c>
      <c r="D8" t="s">
        <v>696</v>
      </c>
    </row>
    <row r="9" spans="1:4" x14ac:dyDescent="0.2">
      <c r="A9" t="s">
        <v>583</v>
      </c>
      <c r="B9" t="s">
        <v>525</v>
      </c>
      <c r="C9" t="s">
        <v>232</v>
      </c>
      <c r="D9" t="s">
        <v>696</v>
      </c>
    </row>
    <row r="10" spans="1:4" x14ac:dyDescent="0.2">
      <c r="A10" t="s">
        <v>583</v>
      </c>
      <c r="B10" t="s">
        <v>525</v>
      </c>
      <c r="C10" t="s">
        <v>526</v>
      </c>
      <c r="D10" t="s">
        <v>23</v>
      </c>
    </row>
    <row r="11" spans="1:4" x14ac:dyDescent="0.2">
      <c r="A11" t="s">
        <v>583</v>
      </c>
      <c r="B11" t="s">
        <v>525</v>
      </c>
      <c r="C11" t="s">
        <v>527</v>
      </c>
      <c r="D11" t="s">
        <v>517</v>
      </c>
    </row>
    <row r="12" spans="1:4" x14ac:dyDescent="0.2">
      <c r="A12" t="s">
        <v>583</v>
      </c>
      <c r="B12" t="s">
        <v>525</v>
      </c>
      <c r="C12" t="s">
        <v>528</v>
      </c>
      <c r="D12" t="s">
        <v>696</v>
      </c>
    </row>
    <row r="13" spans="1:4" x14ac:dyDescent="0.2">
      <c r="A13" t="s">
        <v>583</v>
      </c>
      <c r="B13" t="s">
        <v>525</v>
      </c>
      <c r="C13" t="s">
        <v>529</v>
      </c>
      <c r="D13" t="s">
        <v>696</v>
      </c>
    </row>
    <row r="14" spans="1:4" x14ac:dyDescent="0.2">
      <c r="A14" t="s">
        <v>583</v>
      </c>
      <c r="B14" t="s">
        <v>525</v>
      </c>
      <c r="C14" t="s">
        <v>530</v>
      </c>
      <c r="D14" t="s">
        <v>696</v>
      </c>
    </row>
    <row r="15" spans="1:4" x14ac:dyDescent="0.2">
      <c r="A15" t="s">
        <v>583</v>
      </c>
      <c r="B15" t="s">
        <v>525</v>
      </c>
      <c r="C15" t="s">
        <v>531</v>
      </c>
      <c r="D15" t="s">
        <v>696</v>
      </c>
    </row>
    <row r="16" spans="1:4" x14ac:dyDescent="0.2">
      <c r="A16" t="s">
        <v>583</v>
      </c>
      <c r="B16" t="s">
        <v>534</v>
      </c>
      <c r="C16" t="s">
        <v>533</v>
      </c>
      <c r="D16" t="s">
        <v>696</v>
      </c>
    </row>
    <row r="17" spans="1:4" x14ac:dyDescent="0.2">
      <c r="A17" t="s">
        <v>583</v>
      </c>
      <c r="B17" t="s">
        <v>534</v>
      </c>
      <c r="C17" t="s">
        <v>535</v>
      </c>
      <c r="D17" t="s">
        <v>696</v>
      </c>
    </row>
    <row r="18" spans="1:4" x14ac:dyDescent="0.2">
      <c r="A18" t="s">
        <v>583</v>
      </c>
      <c r="B18" t="s">
        <v>534</v>
      </c>
      <c r="C18" t="s">
        <v>536</v>
      </c>
      <c r="D18" t="s">
        <v>696</v>
      </c>
    </row>
    <row r="19" spans="1:4" x14ac:dyDescent="0.2">
      <c r="A19" t="s">
        <v>583</v>
      </c>
      <c r="B19" t="s">
        <v>534</v>
      </c>
      <c r="C19" t="s">
        <v>537</v>
      </c>
      <c r="D19" t="s">
        <v>696</v>
      </c>
    </row>
    <row r="20" spans="1:4" x14ac:dyDescent="0.2">
      <c r="A20" t="s">
        <v>583</v>
      </c>
      <c r="B20" t="s">
        <v>534</v>
      </c>
      <c r="C20" t="s">
        <v>538</v>
      </c>
      <c r="D20" t="s">
        <v>23</v>
      </c>
    </row>
    <row r="21" spans="1:4" x14ac:dyDescent="0.2">
      <c r="A21" t="s">
        <v>583</v>
      </c>
      <c r="B21" t="s">
        <v>534</v>
      </c>
      <c r="C21" t="s">
        <v>539</v>
      </c>
      <c r="D21" t="s">
        <v>517</v>
      </c>
    </row>
    <row r="22" spans="1:4" x14ac:dyDescent="0.2">
      <c r="A22" t="s">
        <v>583</v>
      </c>
      <c r="B22" t="s">
        <v>534</v>
      </c>
      <c r="C22" t="s">
        <v>540</v>
      </c>
      <c r="D22" t="s">
        <v>517</v>
      </c>
    </row>
    <row r="23" spans="1:4" x14ac:dyDescent="0.2">
      <c r="A23" t="s">
        <v>583</v>
      </c>
      <c r="B23" t="s">
        <v>534</v>
      </c>
      <c r="C23" t="s">
        <v>541</v>
      </c>
      <c r="D23" t="s">
        <v>696</v>
      </c>
    </row>
    <row r="24" spans="1:4" x14ac:dyDescent="0.2">
      <c r="A24" t="s">
        <v>583</v>
      </c>
      <c r="B24" t="s">
        <v>534</v>
      </c>
      <c r="C24" t="s">
        <v>542</v>
      </c>
      <c r="D24" t="s">
        <v>696</v>
      </c>
    </row>
    <row r="25" spans="1:4" x14ac:dyDescent="0.2">
      <c r="A25" t="s">
        <v>583</v>
      </c>
      <c r="B25" t="s">
        <v>534</v>
      </c>
      <c r="C25" t="s">
        <v>543</v>
      </c>
      <c r="D25" t="s">
        <v>696</v>
      </c>
    </row>
    <row r="26" spans="1:4" x14ac:dyDescent="0.2">
      <c r="A26" t="s">
        <v>583</v>
      </c>
      <c r="B26" t="s">
        <v>534</v>
      </c>
      <c r="C26" t="s">
        <v>544</v>
      </c>
      <c r="D26" t="s">
        <v>696</v>
      </c>
    </row>
    <row r="27" spans="1:4" x14ac:dyDescent="0.2">
      <c r="A27" t="s">
        <v>583</v>
      </c>
      <c r="B27" t="s">
        <v>534</v>
      </c>
      <c r="C27" t="s">
        <v>545</v>
      </c>
      <c r="D27" t="s">
        <v>65</v>
      </c>
    </row>
    <row r="28" spans="1:4" x14ac:dyDescent="0.2">
      <c r="A28" t="s">
        <v>583</v>
      </c>
      <c r="B28" t="s">
        <v>534</v>
      </c>
      <c r="C28" t="s">
        <v>546</v>
      </c>
      <c r="D28" t="s">
        <v>517</v>
      </c>
    </row>
    <row r="29" spans="1:4" x14ac:dyDescent="0.2">
      <c r="A29" t="s">
        <v>583</v>
      </c>
      <c r="B29" t="s">
        <v>534</v>
      </c>
      <c r="C29" t="s">
        <v>547</v>
      </c>
      <c r="D29" t="s">
        <v>517</v>
      </c>
    </row>
    <row r="30" spans="1:4" x14ac:dyDescent="0.2">
      <c r="A30" t="s">
        <v>583</v>
      </c>
      <c r="B30" t="s">
        <v>534</v>
      </c>
      <c r="C30" t="s">
        <v>548</v>
      </c>
      <c r="D30" t="s">
        <v>696</v>
      </c>
    </row>
    <row r="31" spans="1:4" x14ac:dyDescent="0.2">
      <c r="A31" t="s">
        <v>583</v>
      </c>
      <c r="B31" t="s">
        <v>534</v>
      </c>
      <c r="C31" t="s">
        <v>549</v>
      </c>
      <c r="D31" t="s">
        <v>517</v>
      </c>
    </row>
    <row r="32" spans="1:4" x14ac:dyDescent="0.2">
      <c r="A32" t="s">
        <v>583</v>
      </c>
      <c r="B32" t="s">
        <v>534</v>
      </c>
      <c r="C32" t="s">
        <v>550</v>
      </c>
      <c r="D32" t="s">
        <v>517</v>
      </c>
    </row>
    <row r="33" spans="1:4" x14ac:dyDescent="0.2">
      <c r="A33" t="s">
        <v>583</v>
      </c>
      <c r="B33" t="s">
        <v>534</v>
      </c>
      <c r="C33" t="s">
        <v>551</v>
      </c>
      <c r="D33" t="s">
        <v>696</v>
      </c>
    </row>
    <row r="34" spans="1:4" x14ac:dyDescent="0.2">
      <c r="A34" t="s">
        <v>583</v>
      </c>
      <c r="B34" t="s">
        <v>534</v>
      </c>
      <c r="C34" t="s">
        <v>552</v>
      </c>
      <c r="D34" t="s">
        <v>517</v>
      </c>
    </row>
    <row r="35" spans="1:4" x14ac:dyDescent="0.2">
      <c r="A35" t="s">
        <v>583</v>
      </c>
      <c r="B35" t="s">
        <v>534</v>
      </c>
      <c r="C35" t="s">
        <v>553</v>
      </c>
      <c r="D35" t="s">
        <v>23</v>
      </c>
    </row>
    <row r="36" spans="1:4" x14ac:dyDescent="0.2">
      <c r="A36" t="s">
        <v>583</v>
      </c>
      <c r="B36" t="s">
        <v>534</v>
      </c>
      <c r="C36" t="s">
        <v>554</v>
      </c>
      <c r="D36" t="s">
        <v>517</v>
      </c>
    </row>
    <row r="37" spans="1:4" x14ac:dyDescent="0.2">
      <c r="A37" t="s">
        <v>583</v>
      </c>
      <c r="B37" t="s">
        <v>555</v>
      </c>
      <c r="C37" t="s">
        <v>556</v>
      </c>
      <c r="D37" t="s">
        <v>696</v>
      </c>
    </row>
    <row r="38" spans="1:4" x14ac:dyDescent="0.2">
      <c r="A38" t="s">
        <v>583</v>
      </c>
      <c r="B38" t="s">
        <v>555</v>
      </c>
      <c r="C38" t="s">
        <v>557</v>
      </c>
      <c r="D38" t="s">
        <v>696</v>
      </c>
    </row>
    <row r="39" spans="1:4" x14ac:dyDescent="0.2">
      <c r="A39" t="s">
        <v>583</v>
      </c>
      <c r="B39" t="s">
        <v>555</v>
      </c>
      <c r="C39" t="s">
        <v>558</v>
      </c>
      <c r="D39" t="s">
        <v>696</v>
      </c>
    </row>
    <row r="40" spans="1:4" x14ac:dyDescent="0.2">
      <c r="A40" t="s">
        <v>583</v>
      </c>
      <c r="B40" t="s">
        <v>555</v>
      </c>
      <c r="C40" t="s">
        <v>559</v>
      </c>
      <c r="D40" t="s">
        <v>517</v>
      </c>
    </row>
    <row r="41" spans="1:4" x14ac:dyDescent="0.2">
      <c r="A41" t="s">
        <v>583</v>
      </c>
      <c r="B41" t="s">
        <v>555</v>
      </c>
      <c r="C41" t="s">
        <v>560</v>
      </c>
      <c r="D41" t="s">
        <v>517</v>
      </c>
    </row>
    <row r="42" spans="1:4" x14ac:dyDescent="0.2">
      <c r="A42" t="s">
        <v>583</v>
      </c>
      <c r="B42" t="s">
        <v>555</v>
      </c>
      <c r="C42" t="s">
        <v>561</v>
      </c>
      <c r="D42" t="s">
        <v>696</v>
      </c>
    </row>
    <row r="43" spans="1:4" x14ac:dyDescent="0.2">
      <c r="A43" t="s">
        <v>583</v>
      </c>
      <c r="B43" t="s">
        <v>555</v>
      </c>
      <c r="C43" t="s">
        <v>562</v>
      </c>
      <c r="D43" t="s">
        <v>696</v>
      </c>
    </row>
    <row r="44" spans="1:4" x14ac:dyDescent="0.2">
      <c r="A44" t="s">
        <v>583</v>
      </c>
      <c r="B44" t="s">
        <v>555</v>
      </c>
      <c r="C44" t="s">
        <v>563</v>
      </c>
      <c r="D44" t="s">
        <v>696</v>
      </c>
    </row>
    <row r="45" spans="1:4" x14ac:dyDescent="0.2">
      <c r="A45" t="s">
        <v>583</v>
      </c>
      <c r="B45" t="s">
        <v>555</v>
      </c>
      <c r="C45" t="s">
        <v>564</v>
      </c>
      <c r="D45" t="s">
        <v>23</v>
      </c>
    </row>
    <row r="46" spans="1:4" x14ac:dyDescent="0.2">
      <c r="A46" t="s">
        <v>583</v>
      </c>
      <c r="B46" t="s">
        <v>555</v>
      </c>
      <c r="C46" t="s">
        <v>565</v>
      </c>
      <c r="D46" t="s">
        <v>517</v>
      </c>
    </row>
    <row r="47" spans="1:4" x14ac:dyDescent="0.2">
      <c r="A47" t="s">
        <v>583</v>
      </c>
      <c r="B47" t="s">
        <v>555</v>
      </c>
      <c r="C47" t="s">
        <v>566</v>
      </c>
      <c r="D47" t="s">
        <v>696</v>
      </c>
    </row>
    <row r="48" spans="1:4" x14ac:dyDescent="0.2">
      <c r="A48" t="s">
        <v>583</v>
      </c>
      <c r="B48" t="s">
        <v>555</v>
      </c>
      <c r="C48" t="s">
        <v>568</v>
      </c>
      <c r="D48" t="s">
        <v>696</v>
      </c>
    </row>
    <row r="49" spans="1:4" x14ac:dyDescent="0.2">
      <c r="A49" t="s">
        <v>583</v>
      </c>
      <c r="B49" t="s">
        <v>555</v>
      </c>
      <c r="C49" t="s">
        <v>567</v>
      </c>
      <c r="D49" t="s">
        <v>696</v>
      </c>
    </row>
    <row r="50" spans="1:4" x14ac:dyDescent="0.2">
      <c r="A50" t="s">
        <v>583</v>
      </c>
      <c r="B50" t="s">
        <v>555</v>
      </c>
      <c r="C50" t="s">
        <v>569</v>
      </c>
      <c r="D50" t="s">
        <v>517</v>
      </c>
    </row>
    <row r="51" spans="1:4" x14ac:dyDescent="0.2">
      <c r="A51" t="s">
        <v>583</v>
      </c>
      <c r="B51" t="s">
        <v>555</v>
      </c>
      <c r="C51" t="s">
        <v>570</v>
      </c>
      <c r="D51" t="s">
        <v>696</v>
      </c>
    </row>
    <row r="52" spans="1:4" x14ac:dyDescent="0.2">
      <c r="A52" t="s">
        <v>583</v>
      </c>
      <c r="B52" t="s">
        <v>555</v>
      </c>
      <c r="C52" t="s">
        <v>571</v>
      </c>
      <c r="D52" t="s">
        <v>696</v>
      </c>
    </row>
    <row r="53" spans="1:4" x14ac:dyDescent="0.2">
      <c r="A53" t="s">
        <v>85</v>
      </c>
      <c r="B53" t="s">
        <v>584</v>
      </c>
      <c r="C53" t="s">
        <v>572</v>
      </c>
      <c r="D53" t="s">
        <v>65</v>
      </c>
    </row>
    <row r="54" spans="1:4" x14ac:dyDescent="0.2">
      <c r="A54" t="s">
        <v>85</v>
      </c>
      <c r="B54" t="s">
        <v>584</v>
      </c>
      <c r="C54" t="s">
        <v>573</v>
      </c>
      <c r="D54" t="s">
        <v>696</v>
      </c>
    </row>
    <row r="55" spans="1:4" x14ac:dyDescent="0.2">
      <c r="A55" t="s">
        <v>85</v>
      </c>
      <c r="B55" t="s">
        <v>584</v>
      </c>
      <c r="C55" t="s">
        <v>574</v>
      </c>
      <c r="D55" t="s">
        <v>696</v>
      </c>
    </row>
    <row r="56" spans="1:4" x14ac:dyDescent="0.2">
      <c r="A56" t="s">
        <v>85</v>
      </c>
      <c r="B56" t="s">
        <v>584</v>
      </c>
      <c r="C56" t="s">
        <v>575</v>
      </c>
      <c r="D56" t="s">
        <v>697</v>
      </c>
    </row>
    <row r="57" spans="1:4" x14ac:dyDescent="0.2">
      <c r="A57" t="s">
        <v>85</v>
      </c>
      <c r="B57" t="s">
        <v>584</v>
      </c>
      <c r="C57" t="s">
        <v>576</v>
      </c>
      <c r="D57" t="s">
        <v>696</v>
      </c>
    </row>
    <row r="58" spans="1:4" x14ac:dyDescent="0.2">
      <c r="A58" t="s">
        <v>85</v>
      </c>
      <c r="B58" t="s">
        <v>584</v>
      </c>
      <c r="C58" t="s">
        <v>386</v>
      </c>
      <c r="D58" t="s">
        <v>696</v>
      </c>
    </row>
    <row r="59" spans="1:4" x14ac:dyDescent="0.2">
      <c r="A59" t="s">
        <v>85</v>
      </c>
      <c r="B59" t="s">
        <v>584</v>
      </c>
      <c r="C59" t="s">
        <v>577</v>
      </c>
      <c r="D59" t="s">
        <v>697</v>
      </c>
    </row>
    <row r="60" spans="1:4" x14ac:dyDescent="0.2">
      <c r="A60" t="s">
        <v>85</v>
      </c>
      <c r="B60" t="s">
        <v>584</v>
      </c>
      <c r="C60" t="s">
        <v>578</v>
      </c>
      <c r="D60" t="s">
        <v>696</v>
      </c>
    </row>
    <row r="61" spans="1:4" x14ac:dyDescent="0.2">
      <c r="A61" t="s">
        <v>85</v>
      </c>
      <c r="B61" t="s">
        <v>584</v>
      </c>
      <c r="C61" t="s">
        <v>579</v>
      </c>
      <c r="D61" t="s">
        <v>517</v>
      </c>
    </row>
    <row r="62" spans="1:4" x14ac:dyDescent="0.2">
      <c r="A62" t="s">
        <v>585</v>
      </c>
      <c r="B62" t="s">
        <v>65</v>
      </c>
      <c r="C62" t="s">
        <v>580</v>
      </c>
      <c r="D62" t="s">
        <v>65</v>
      </c>
    </row>
    <row r="63" spans="1:4" x14ac:dyDescent="0.2">
      <c r="A63" t="s">
        <v>585</v>
      </c>
      <c r="B63" t="s">
        <v>65</v>
      </c>
      <c r="C63" t="s">
        <v>581</v>
      </c>
      <c r="D63" t="s">
        <v>65</v>
      </c>
    </row>
    <row r="64" spans="1:4" x14ac:dyDescent="0.2">
      <c r="A64" t="s">
        <v>585</v>
      </c>
      <c r="B64" t="s">
        <v>65</v>
      </c>
      <c r="C64" t="s">
        <v>582</v>
      </c>
      <c r="D64" t="s">
        <v>65</v>
      </c>
    </row>
    <row r="65" spans="1:4" x14ac:dyDescent="0.2">
      <c r="A65" t="s">
        <v>585</v>
      </c>
      <c r="B65" t="s">
        <v>65</v>
      </c>
      <c r="C65" t="s">
        <v>586</v>
      </c>
      <c r="D65" t="s">
        <v>697</v>
      </c>
    </row>
    <row r="66" spans="1:4" x14ac:dyDescent="0.2">
      <c r="A66" t="s">
        <v>585</v>
      </c>
      <c r="B66" t="s">
        <v>65</v>
      </c>
      <c r="C66" t="s">
        <v>587</v>
      </c>
      <c r="D66" t="s">
        <v>697</v>
      </c>
    </row>
    <row r="67" spans="1:4" x14ac:dyDescent="0.2">
      <c r="A67" t="s">
        <v>585</v>
      </c>
      <c r="B67" t="s">
        <v>65</v>
      </c>
      <c r="C67" t="s">
        <v>588</v>
      </c>
      <c r="D67" t="s">
        <v>697</v>
      </c>
    </row>
    <row r="68" spans="1:4" x14ac:dyDescent="0.2">
      <c r="A68" t="s">
        <v>585</v>
      </c>
      <c r="B68" t="s">
        <v>65</v>
      </c>
      <c r="C68" t="s">
        <v>589</v>
      </c>
      <c r="D68" t="s">
        <v>697</v>
      </c>
    </row>
    <row r="69" spans="1:4" x14ac:dyDescent="0.2">
      <c r="A69" t="s">
        <v>585</v>
      </c>
      <c r="B69" t="s">
        <v>65</v>
      </c>
      <c r="C69" t="s">
        <v>590</v>
      </c>
      <c r="D69" t="s">
        <v>65</v>
      </c>
    </row>
    <row r="70" spans="1:4" x14ac:dyDescent="0.2">
      <c r="A70" t="s">
        <v>585</v>
      </c>
      <c r="B70" t="s">
        <v>65</v>
      </c>
      <c r="D70" t="s">
        <v>65</v>
      </c>
    </row>
    <row r="71" spans="1:4" x14ac:dyDescent="0.2">
      <c r="A71" t="s">
        <v>585</v>
      </c>
      <c r="B71" t="s">
        <v>65</v>
      </c>
      <c r="D71" t="s">
        <v>65</v>
      </c>
    </row>
    <row r="72" spans="1:4" x14ac:dyDescent="0.2">
      <c r="A72" t="s">
        <v>591</v>
      </c>
      <c r="B72" t="s">
        <v>592</v>
      </c>
      <c r="C72" t="s">
        <v>593</v>
      </c>
      <c r="D72" t="s">
        <v>65</v>
      </c>
    </row>
    <row r="73" spans="1:4" x14ac:dyDescent="0.2">
      <c r="A73" t="s">
        <v>585</v>
      </c>
      <c r="C73" t="s">
        <v>594</v>
      </c>
      <c r="D73" t="s">
        <v>697</v>
      </c>
    </row>
    <row r="74" spans="1:4" x14ac:dyDescent="0.2">
      <c r="A74" t="s">
        <v>585</v>
      </c>
      <c r="C74" t="s">
        <v>466</v>
      </c>
      <c r="D74" t="s">
        <v>697</v>
      </c>
    </row>
    <row r="75" spans="1:4" x14ac:dyDescent="0.2">
      <c r="A75" t="s">
        <v>585</v>
      </c>
      <c r="B75" t="s">
        <v>595</v>
      </c>
      <c r="C75" t="s">
        <v>596</v>
      </c>
      <c r="D75" t="s">
        <v>696</v>
      </c>
    </row>
    <row r="76" spans="1:4" x14ac:dyDescent="0.2">
      <c r="A76" t="s">
        <v>585</v>
      </c>
      <c r="C76" t="s">
        <v>597</v>
      </c>
      <c r="D76" t="s">
        <v>517</v>
      </c>
    </row>
    <row r="77" spans="1:4" x14ac:dyDescent="0.2">
      <c r="A77" t="s">
        <v>585</v>
      </c>
      <c r="B77" t="s">
        <v>598</v>
      </c>
      <c r="C77" t="s">
        <v>599</v>
      </c>
      <c r="D77" t="s">
        <v>65</v>
      </c>
    </row>
    <row r="78" spans="1:4" x14ac:dyDescent="0.2">
      <c r="A78" t="s">
        <v>585</v>
      </c>
      <c r="B78" t="s">
        <v>605</v>
      </c>
      <c r="C78" t="s">
        <v>600</v>
      </c>
      <c r="D78" t="s">
        <v>65</v>
      </c>
    </row>
    <row r="79" spans="1:4" x14ac:dyDescent="0.2">
      <c r="A79" t="s">
        <v>585</v>
      </c>
      <c r="B79" t="s">
        <v>605</v>
      </c>
      <c r="C79" t="s">
        <v>601</v>
      </c>
      <c r="D79" t="s">
        <v>65</v>
      </c>
    </row>
    <row r="80" spans="1:4" x14ac:dyDescent="0.2">
      <c r="A80" t="s">
        <v>585</v>
      </c>
      <c r="B80" t="s">
        <v>605</v>
      </c>
      <c r="C80" t="s">
        <v>602</v>
      </c>
      <c r="D80" t="s">
        <v>65</v>
      </c>
    </row>
    <row r="81" spans="1:4" x14ac:dyDescent="0.2">
      <c r="A81" t="s">
        <v>585</v>
      </c>
      <c r="B81" t="s">
        <v>605</v>
      </c>
      <c r="C81" t="s">
        <v>603</v>
      </c>
      <c r="D81" t="s">
        <v>65</v>
      </c>
    </row>
    <row r="82" spans="1:4" x14ac:dyDescent="0.2">
      <c r="A82" t="s">
        <v>585</v>
      </c>
      <c r="B82" t="s">
        <v>605</v>
      </c>
      <c r="C82" t="s">
        <v>604</v>
      </c>
      <c r="D82" t="s">
        <v>65</v>
      </c>
    </row>
    <row r="83" spans="1:4" x14ac:dyDescent="0.2">
      <c r="A83" t="s">
        <v>585</v>
      </c>
      <c r="B83" t="s">
        <v>606</v>
      </c>
      <c r="C83" t="s">
        <v>607</v>
      </c>
      <c r="D83" t="s">
        <v>65</v>
      </c>
    </row>
    <row r="84" spans="1:4" x14ac:dyDescent="0.2">
      <c r="A84" t="s">
        <v>585</v>
      </c>
      <c r="B84" t="s">
        <v>606</v>
      </c>
      <c r="C84" t="s">
        <v>608</v>
      </c>
      <c r="D84" t="s">
        <v>65</v>
      </c>
    </row>
    <row r="85" spans="1:4" x14ac:dyDescent="0.2">
      <c r="A85" t="s">
        <v>585</v>
      </c>
      <c r="B85" t="s">
        <v>606</v>
      </c>
      <c r="C85" t="s">
        <v>609</v>
      </c>
      <c r="D85" t="s">
        <v>65</v>
      </c>
    </row>
    <row r="86" spans="1:4" x14ac:dyDescent="0.2">
      <c r="A86" t="s">
        <v>585</v>
      </c>
      <c r="B86" t="s">
        <v>612</v>
      </c>
      <c r="C86" t="s">
        <v>610</v>
      </c>
      <c r="D86" t="s">
        <v>65</v>
      </c>
    </row>
    <row r="87" spans="1:4" x14ac:dyDescent="0.2">
      <c r="A87" t="s">
        <v>585</v>
      </c>
      <c r="B87" t="s">
        <v>612</v>
      </c>
      <c r="C87" t="s">
        <v>611</v>
      </c>
      <c r="D87" t="s">
        <v>65</v>
      </c>
    </row>
    <row r="88" spans="1:4" x14ac:dyDescent="0.2">
      <c r="A88" t="s">
        <v>585</v>
      </c>
      <c r="B88" t="s">
        <v>613</v>
      </c>
      <c r="C88" t="s">
        <v>614</v>
      </c>
      <c r="D88" t="s">
        <v>65</v>
      </c>
    </row>
    <row r="89" spans="1:4" x14ac:dyDescent="0.2">
      <c r="A89" t="s">
        <v>585</v>
      </c>
      <c r="B89" t="s">
        <v>615</v>
      </c>
      <c r="C89" t="s">
        <v>616</v>
      </c>
      <c r="D89" t="s">
        <v>65</v>
      </c>
    </row>
    <row r="90" spans="1:4" x14ac:dyDescent="0.2">
      <c r="A90" t="s">
        <v>585</v>
      </c>
      <c r="B90" t="s">
        <v>615</v>
      </c>
      <c r="C90" t="s">
        <v>617</v>
      </c>
      <c r="D90" t="s">
        <v>65</v>
      </c>
    </row>
    <row r="91" spans="1:4" x14ac:dyDescent="0.2">
      <c r="A91" t="s">
        <v>585</v>
      </c>
      <c r="B91" t="s">
        <v>618</v>
      </c>
      <c r="C91" t="s">
        <v>619</v>
      </c>
      <c r="D91" t="s">
        <v>65</v>
      </c>
    </row>
    <row r="92" spans="1:4" x14ac:dyDescent="0.2">
      <c r="A92" t="s">
        <v>585</v>
      </c>
      <c r="B92" t="s">
        <v>493</v>
      </c>
      <c r="C92" t="s">
        <v>620</v>
      </c>
      <c r="D92" t="s">
        <v>65</v>
      </c>
    </row>
    <row r="93" spans="1:4" x14ac:dyDescent="0.2">
      <c r="A93" t="s">
        <v>85</v>
      </c>
      <c r="B93" t="s">
        <v>621</v>
      </c>
      <c r="C93" t="s">
        <v>622</v>
      </c>
      <c r="D93" t="s">
        <v>696</v>
      </c>
    </row>
    <row r="94" spans="1:4" x14ac:dyDescent="0.2">
      <c r="A94" t="s">
        <v>85</v>
      </c>
      <c r="B94" t="s">
        <v>621</v>
      </c>
      <c r="C94" t="s">
        <v>623</v>
      </c>
      <c r="D94" t="s">
        <v>696</v>
      </c>
    </row>
    <row r="95" spans="1:4" x14ac:dyDescent="0.2">
      <c r="A95" t="s">
        <v>85</v>
      </c>
      <c r="B95" t="s">
        <v>621</v>
      </c>
      <c r="C95" t="s">
        <v>624</v>
      </c>
      <c r="D95" t="s">
        <v>517</v>
      </c>
    </row>
    <row r="96" spans="1:4" x14ac:dyDescent="0.2">
      <c r="A96" t="s">
        <v>85</v>
      </c>
      <c r="B96" t="s">
        <v>621</v>
      </c>
      <c r="C96" t="s">
        <v>625</v>
      </c>
      <c r="D96" t="s">
        <v>517</v>
      </c>
    </row>
    <row r="97" spans="1:4" x14ac:dyDescent="0.2">
      <c r="A97" t="s">
        <v>85</v>
      </c>
      <c r="B97" t="s">
        <v>621</v>
      </c>
      <c r="C97" t="s">
        <v>626</v>
      </c>
      <c r="D97" t="s">
        <v>517</v>
      </c>
    </row>
    <row r="98" spans="1:4" x14ac:dyDescent="0.2">
      <c r="A98" t="s">
        <v>85</v>
      </c>
      <c r="B98" t="s">
        <v>627</v>
      </c>
      <c r="C98" t="s">
        <v>628</v>
      </c>
      <c r="D98" t="s">
        <v>697</v>
      </c>
    </row>
    <row r="99" spans="1:4" x14ac:dyDescent="0.2">
      <c r="A99" t="s">
        <v>85</v>
      </c>
      <c r="B99" t="s">
        <v>627</v>
      </c>
      <c r="C99" t="s">
        <v>629</v>
      </c>
      <c r="D99" t="s">
        <v>697</v>
      </c>
    </row>
    <row r="100" spans="1:4" x14ac:dyDescent="0.2">
      <c r="A100" t="s">
        <v>85</v>
      </c>
      <c r="B100" t="s">
        <v>627</v>
      </c>
      <c r="C100" t="s">
        <v>630</v>
      </c>
      <c r="D100" t="s">
        <v>697</v>
      </c>
    </row>
    <row r="101" spans="1:4" x14ac:dyDescent="0.2">
      <c r="A101" t="s">
        <v>85</v>
      </c>
      <c r="B101" t="s">
        <v>627</v>
      </c>
      <c r="C101" t="s">
        <v>631</v>
      </c>
      <c r="D101" t="s">
        <v>697</v>
      </c>
    </row>
    <row r="102" spans="1:4" x14ac:dyDescent="0.2">
      <c r="A102" t="s">
        <v>85</v>
      </c>
      <c r="B102" t="s">
        <v>627</v>
      </c>
      <c r="C102" t="s">
        <v>632</v>
      </c>
      <c r="D102" t="s">
        <v>697</v>
      </c>
    </row>
    <row r="103" spans="1:4" x14ac:dyDescent="0.2">
      <c r="A103" t="s">
        <v>85</v>
      </c>
      <c r="B103" t="s">
        <v>627</v>
      </c>
      <c r="C103" t="s">
        <v>633</v>
      </c>
      <c r="D103" t="s">
        <v>697</v>
      </c>
    </row>
    <row r="104" spans="1:4" x14ac:dyDescent="0.2">
      <c r="A104" t="s">
        <v>85</v>
      </c>
      <c r="B104" t="s">
        <v>634</v>
      </c>
      <c r="C104" t="s">
        <v>635</v>
      </c>
      <c r="D104" t="s">
        <v>697</v>
      </c>
    </row>
    <row r="105" spans="1:4" x14ac:dyDescent="0.2">
      <c r="A105" t="s">
        <v>85</v>
      </c>
      <c r="B105" t="s">
        <v>634</v>
      </c>
      <c r="C105" t="s">
        <v>636</v>
      </c>
      <c r="D105" t="s">
        <v>697</v>
      </c>
    </row>
    <row r="106" spans="1:4" x14ac:dyDescent="0.2">
      <c r="A106" t="s">
        <v>85</v>
      </c>
      <c r="B106" t="s">
        <v>634</v>
      </c>
      <c r="C106" t="s">
        <v>637</v>
      </c>
      <c r="D106" t="s">
        <v>697</v>
      </c>
    </row>
    <row r="107" spans="1:4" x14ac:dyDescent="0.2">
      <c r="A107" t="s">
        <v>85</v>
      </c>
      <c r="B107" t="s">
        <v>663</v>
      </c>
      <c r="C107" t="s">
        <v>638</v>
      </c>
      <c r="D107" t="s">
        <v>696</v>
      </c>
    </row>
    <row r="108" spans="1:4" x14ac:dyDescent="0.2">
      <c r="A108" t="s">
        <v>85</v>
      </c>
      <c r="B108" t="s">
        <v>663</v>
      </c>
      <c r="C108" t="s">
        <v>639</v>
      </c>
      <c r="D108" t="s">
        <v>697</v>
      </c>
    </row>
    <row r="109" spans="1:4" x14ac:dyDescent="0.2">
      <c r="A109" t="s">
        <v>85</v>
      </c>
      <c r="B109" t="s">
        <v>663</v>
      </c>
      <c r="C109" t="s">
        <v>640</v>
      </c>
      <c r="D109" t="s">
        <v>696</v>
      </c>
    </row>
    <row r="110" spans="1:4" x14ac:dyDescent="0.2">
      <c r="A110" t="s">
        <v>85</v>
      </c>
      <c r="B110" t="s">
        <v>663</v>
      </c>
      <c r="C110" t="s">
        <v>641</v>
      </c>
      <c r="D110" t="s">
        <v>697</v>
      </c>
    </row>
    <row r="111" spans="1:4" x14ac:dyDescent="0.2">
      <c r="A111" t="s">
        <v>85</v>
      </c>
      <c r="B111" t="s">
        <v>663</v>
      </c>
      <c r="C111" t="s">
        <v>642</v>
      </c>
      <c r="D111" t="s">
        <v>517</v>
      </c>
    </row>
    <row r="112" spans="1:4" x14ac:dyDescent="0.2">
      <c r="A112" t="s">
        <v>85</v>
      </c>
      <c r="B112" t="s">
        <v>663</v>
      </c>
      <c r="C112" t="s">
        <v>643</v>
      </c>
      <c r="D112" t="s">
        <v>65</v>
      </c>
    </row>
    <row r="113" spans="1:4" x14ac:dyDescent="0.2">
      <c r="A113" t="s">
        <v>85</v>
      </c>
      <c r="B113" t="s">
        <v>663</v>
      </c>
      <c r="C113" t="s">
        <v>644</v>
      </c>
      <c r="D113" t="s">
        <v>65</v>
      </c>
    </row>
    <row r="114" spans="1:4" x14ac:dyDescent="0.2">
      <c r="A114" t="s">
        <v>85</v>
      </c>
      <c r="B114" t="s">
        <v>663</v>
      </c>
      <c r="C114" t="s">
        <v>645</v>
      </c>
      <c r="D114" t="s">
        <v>65</v>
      </c>
    </row>
    <row r="115" spans="1:4" x14ac:dyDescent="0.2">
      <c r="A115" t="s">
        <v>85</v>
      </c>
      <c r="B115" t="s">
        <v>663</v>
      </c>
      <c r="C115" t="s">
        <v>646</v>
      </c>
      <c r="D115" t="s">
        <v>65</v>
      </c>
    </row>
    <row r="116" spans="1:4" x14ac:dyDescent="0.2">
      <c r="A116" t="s">
        <v>85</v>
      </c>
      <c r="B116" t="s">
        <v>663</v>
      </c>
      <c r="C116" t="s">
        <v>647</v>
      </c>
      <c r="D116" t="s">
        <v>696</v>
      </c>
    </row>
    <row r="117" spans="1:4" x14ac:dyDescent="0.2">
      <c r="A117" t="s">
        <v>85</v>
      </c>
      <c r="B117" t="s">
        <v>663</v>
      </c>
      <c r="C117" t="s">
        <v>648</v>
      </c>
      <c r="D117" t="s">
        <v>517</v>
      </c>
    </row>
    <row r="118" spans="1:4" x14ac:dyDescent="0.2">
      <c r="A118" t="s">
        <v>85</v>
      </c>
      <c r="B118" t="s">
        <v>663</v>
      </c>
      <c r="C118" t="s">
        <v>649</v>
      </c>
      <c r="D118" t="s">
        <v>696</v>
      </c>
    </row>
    <row r="119" spans="1:4" x14ac:dyDescent="0.2">
      <c r="A119" t="s">
        <v>85</v>
      </c>
      <c r="B119" t="s">
        <v>663</v>
      </c>
      <c r="C119" t="s">
        <v>650</v>
      </c>
      <c r="D119" t="s">
        <v>517</v>
      </c>
    </row>
    <row r="120" spans="1:4" x14ac:dyDescent="0.2">
      <c r="A120" t="s">
        <v>85</v>
      </c>
      <c r="B120" t="s">
        <v>663</v>
      </c>
      <c r="C120" t="s">
        <v>651</v>
      </c>
      <c r="D120" t="s">
        <v>697</v>
      </c>
    </row>
    <row r="121" spans="1:4" x14ac:dyDescent="0.2">
      <c r="A121" t="s">
        <v>85</v>
      </c>
      <c r="B121" t="s">
        <v>663</v>
      </c>
      <c r="C121" t="s">
        <v>652</v>
      </c>
      <c r="D121" t="s">
        <v>696</v>
      </c>
    </row>
    <row r="122" spans="1:4" x14ac:dyDescent="0.2">
      <c r="A122" t="s">
        <v>85</v>
      </c>
      <c r="B122" t="s">
        <v>663</v>
      </c>
      <c r="C122" t="s">
        <v>653</v>
      </c>
      <c r="D122" t="s">
        <v>65</v>
      </c>
    </row>
    <row r="123" spans="1:4" x14ac:dyDescent="0.2">
      <c r="A123" t="s">
        <v>85</v>
      </c>
      <c r="B123" t="s">
        <v>662</v>
      </c>
      <c r="C123" t="s">
        <v>654</v>
      </c>
      <c r="D123" t="s">
        <v>65</v>
      </c>
    </row>
    <row r="124" spans="1:4" x14ac:dyDescent="0.2">
      <c r="A124" t="s">
        <v>85</v>
      </c>
      <c r="B124" t="s">
        <v>662</v>
      </c>
      <c r="C124" t="s">
        <v>655</v>
      </c>
      <c r="D124" t="s">
        <v>65</v>
      </c>
    </row>
    <row r="125" spans="1:4" x14ac:dyDescent="0.2">
      <c r="A125" t="s">
        <v>85</v>
      </c>
      <c r="B125" t="s">
        <v>662</v>
      </c>
      <c r="C125" t="s">
        <v>656</v>
      </c>
      <c r="D125" t="s">
        <v>23</v>
      </c>
    </row>
    <row r="126" spans="1:4" x14ac:dyDescent="0.2">
      <c r="A126" t="s">
        <v>85</v>
      </c>
      <c r="B126" t="s">
        <v>662</v>
      </c>
      <c r="C126" t="s">
        <v>657</v>
      </c>
      <c r="D126" t="s">
        <v>65</v>
      </c>
    </row>
    <row r="127" spans="1:4" x14ac:dyDescent="0.2">
      <c r="A127" t="s">
        <v>85</v>
      </c>
      <c r="B127" t="s">
        <v>662</v>
      </c>
      <c r="C127" t="s">
        <v>658</v>
      </c>
      <c r="D127" t="s">
        <v>65</v>
      </c>
    </row>
    <row r="128" spans="1:4" x14ac:dyDescent="0.2">
      <c r="A128" t="s">
        <v>85</v>
      </c>
      <c r="B128" t="s">
        <v>662</v>
      </c>
      <c r="C128" t="s">
        <v>659</v>
      </c>
      <c r="D128" t="s">
        <v>65</v>
      </c>
    </row>
    <row r="129" spans="1:4" x14ac:dyDescent="0.2">
      <c r="A129" t="s">
        <v>85</v>
      </c>
      <c r="B129" t="s">
        <v>662</v>
      </c>
      <c r="C129" t="s">
        <v>660</v>
      </c>
      <c r="D129" t="s">
        <v>65</v>
      </c>
    </row>
    <row r="130" spans="1:4" x14ac:dyDescent="0.2">
      <c r="A130" t="s">
        <v>85</v>
      </c>
      <c r="B130" t="s">
        <v>662</v>
      </c>
      <c r="C130" t="s">
        <v>661</v>
      </c>
      <c r="D130" t="s">
        <v>65</v>
      </c>
    </row>
    <row r="131" spans="1:4" x14ac:dyDescent="0.2">
      <c r="A131" t="s">
        <v>666</v>
      </c>
      <c r="B131" t="s">
        <v>664</v>
      </c>
      <c r="C131" t="s">
        <v>665</v>
      </c>
      <c r="D131" t="s">
        <v>23</v>
      </c>
    </row>
    <row r="132" spans="1:4" x14ac:dyDescent="0.2">
      <c r="A132" t="s">
        <v>666</v>
      </c>
      <c r="B132" t="s">
        <v>664</v>
      </c>
      <c r="C132" t="s">
        <v>667</v>
      </c>
      <c r="D132" t="s">
        <v>23</v>
      </c>
    </row>
    <row r="133" spans="1:4" x14ac:dyDescent="0.2">
      <c r="A133" t="s">
        <v>666</v>
      </c>
      <c r="B133" t="s">
        <v>664</v>
      </c>
      <c r="C133" t="s">
        <v>668</v>
      </c>
      <c r="D133" t="s">
        <v>23</v>
      </c>
    </row>
    <row r="134" spans="1:4" x14ac:dyDescent="0.2">
      <c r="A134" t="s">
        <v>666</v>
      </c>
      <c r="B134" t="s">
        <v>664</v>
      </c>
      <c r="C134" t="s">
        <v>669</v>
      </c>
      <c r="D134" t="s">
        <v>23</v>
      </c>
    </row>
    <row r="135" spans="1:4" x14ac:dyDescent="0.2">
      <c r="A135" t="s">
        <v>666</v>
      </c>
      <c r="B135" t="s">
        <v>664</v>
      </c>
      <c r="C135" t="s">
        <v>670</v>
      </c>
      <c r="D135" t="s">
        <v>23</v>
      </c>
    </row>
  </sheetData>
  <autoFilter ref="A2:D135" xr:uid="{C709AE28-6B7C-5E46-A529-EC77DB5750F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workbookViewId="0">
      <pane ySplit="1" topLeftCell="A16" activePane="bottomLeft" state="frozen"/>
      <selection pane="bottomLeft" activeCell="G2" sqref="G2:G51"/>
    </sheetView>
  </sheetViews>
  <sheetFormatPr baseColWidth="10" defaultColWidth="8.83203125" defaultRowHeight="15" x14ac:dyDescent="0.2"/>
  <cols>
    <col min="1" max="1" width="10" customWidth="1"/>
    <col min="2" max="2" width="14" customWidth="1"/>
    <col min="3" max="3" width="22" customWidth="1"/>
    <col min="4" max="4" width="55" customWidth="1"/>
    <col min="5" max="5" width="18" customWidth="1"/>
    <col min="6" max="6" width="42" customWidth="1"/>
    <col min="7" max="7" width="18" customWidth="1"/>
    <col min="8" max="8" width="42" customWidth="1"/>
    <col min="9" max="9" width="28" customWidth="1"/>
    <col min="10" max="10" width="24" customWidth="1"/>
  </cols>
  <sheetData>
    <row r="1" spans="1:10" x14ac:dyDescent="0.2">
      <c r="A1" s="1" t="s">
        <v>0</v>
      </c>
      <c r="B1" s="1" t="s">
        <v>1</v>
      </c>
      <c r="C1" s="1" t="s">
        <v>2</v>
      </c>
      <c r="D1" s="1" t="s">
        <v>3</v>
      </c>
      <c r="E1" s="1" t="s">
        <v>4</v>
      </c>
      <c r="F1" s="1" t="s">
        <v>5</v>
      </c>
      <c r="G1" s="1" t="s">
        <v>6</v>
      </c>
      <c r="H1" s="1" t="s">
        <v>7</v>
      </c>
      <c r="I1" s="1" t="s">
        <v>8</v>
      </c>
      <c r="J1" s="1" t="s">
        <v>9</v>
      </c>
    </row>
    <row r="2" spans="1:10" ht="32" x14ac:dyDescent="0.2">
      <c r="A2" s="2" t="s">
        <v>10</v>
      </c>
      <c r="B2" s="2" t="s">
        <v>11</v>
      </c>
      <c r="C2" s="2" t="s">
        <v>12</v>
      </c>
      <c r="D2" s="2" t="s">
        <v>13</v>
      </c>
      <c r="E2" s="2" t="s">
        <v>14</v>
      </c>
      <c r="F2" s="2" t="s">
        <v>15</v>
      </c>
      <c r="G2" s="2" t="s">
        <v>517</v>
      </c>
      <c r="H2" s="2" t="s">
        <v>16</v>
      </c>
      <c r="I2" s="2" t="s">
        <v>17</v>
      </c>
      <c r="J2" s="2" t="s">
        <v>18</v>
      </c>
    </row>
    <row r="3" spans="1:10" ht="32" x14ac:dyDescent="0.2">
      <c r="A3" s="2" t="s">
        <v>19</v>
      </c>
      <c r="B3" s="2" t="s">
        <v>20</v>
      </c>
      <c r="C3" s="2" t="s">
        <v>12</v>
      </c>
      <c r="D3" s="2" t="s">
        <v>21</v>
      </c>
      <c r="E3" s="2" t="s">
        <v>14</v>
      </c>
      <c r="F3" s="2" t="s">
        <v>22</v>
      </c>
      <c r="G3" s="2" t="s">
        <v>23</v>
      </c>
      <c r="H3" s="2" t="s">
        <v>24</v>
      </c>
      <c r="I3" s="2" t="s">
        <v>25</v>
      </c>
      <c r="J3" s="2" t="s">
        <v>26</v>
      </c>
    </row>
    <row r="4" spans="1:10" ht="32" x14ac:dyDescent="0.2">
      <c r="A4" s="2" t="s">
        <v>27</v>
      </c>
      <c r="B4" s="2" t="s">
        <v>20</v>
      </c>
      <c r="C4" s="2" t="s">
        <v>12</v>
      </c>
      <c r="D4" s="2" t="s">
        <v>28</v>
      </c>
      <c r="E4" s="2" t="s">
        <v>29</v>
      </c>
      <c r="F4" s="2" t="s">
        <v>30</v>
      </c>
      <c r="G4" s="2" t="s">
        <v>42</v>
      </c>
      <c r="H4" s="2" t="s">
        <v>31</v>
      </c>
      <c r="I4" s="2" t="s">
        <v>14</v>
      </c>
      <c r="J4" s="2" t="s">
        <v>32</v>
      </c>
    </row>
    <row r="5" spans="1:10" ht="16" x14ac:dyDescent="0.2">
      <c r="A5" s="2" t="s">
        <v>33</v>
      </c>
      <c r="B5" s="2" t="s">
        <v>20</v>
      </c>
      <c r="C5" s="2" t="s">
        <v>34</v>
      </c>
      <c r="D5" s="2" t="s">
        <v>35</v>
      </c>
      <c r="E5" s="2" t="s">
        <v>29</v>
      </c>
      <c r="F5" s="2" t="s">
        <v>36</v>
      </c>
      <c r="G5" s="2" t="s">
        <v>517</v>
      </c>
      <c r="H5" s="2" t="s">
        <v>37</v>
      </c>
      <c r="I5" s="2" t="s">
        <v>14</v>
      </c>
      <c r="J5" s="2" t="s">
        <v>38</v>
      </c>
    </row>
    <row r="6" spans="1:10" ht="32" x14ac:dyDescent="0.2">
      <c r="A6" s="2" t="s">
        <v>39</v>
      </c>
      <c r="B6" s="2" t="s">
        <v>20</v>
      </c>
      <c r="C6" s="2" t="s">
        <v>34</v>
      </c>
      <c r="D6" s="2" t="s">
        <v>40</v>
      </c>
      <c r="E6" s="2" t="s">
        <v>23</v>
      </c>
      <c r="F6" s="2" t="s">
        <v>41</v>
      </c>
      <c r="G6" s="2" t="s">
        <v>42</v>
      </c>
      <c r="H6" s="2" t="s">
        <v>43</v>
      </c>
      <c r="I6" s="2" t="s">
        <v>44</v>
      </c>
      <c r="J6" s="2" t="s">
        <v>45</v>
      </c>
    </row>
    <row r="7" spans="1:10" ht="32" x14ac:dyDescent="0.2">
      <c r="A7" s="2" t="s">
        <v>46</v>
      </c>
      <c r="B7" s="2" t="s">
        <v>20</v>
      </c>
      <c r="C7" s="2" t="s">
        <v>47</v>
      </c>
      <c r="D7" s="2" t="s">
        <v>48</v>
      </c>
      <c r="E7" s="2" t="s">
        <v>14</v>
      </c>
      <c r="F7" s="2" t="s">
        <v>14</v>
      </c>
      <c r="G7" s="2" t="s">
        <v>517</v>
      </c>
      <c r="H7" s="2" t="s">
        <v>14</v>
      </c>
      <c r="I7" s="2" t="s">
        <v>49</v>
      </c>
      <c r="J7" s="2" t="s">
        <v>50</v>
      </c>
    </row>
    <row r="8" spans="1:10" ht="16" x14ac:dyDescent="0.2">
      <c r="A8" s="2" t="s">
        <v>51</v>
      </c>
      <c r="B8" s="2" t="s">
        <v>52</v>
      </c>
      <c r="C8" s="2" t="s">
        <v>53</v>
      </c>
      <c r="D8" s="2" t="s">
        <v>54</v>
      </c>
      <c r="E8" s="2" t="s">
        <v>29</v>
      </c>
      <c r="F8" s="2" t="s">
        <v>55</v>
      </c>
      <c r="G8" s="2" t="s">
        <v>517</v>
      </c>
      <c r="H8" s="2" t="s">
        <v>56</v>
      </c>
      <c r="I8" s="2" t="s">
        <v>14</v>
      </c>
      <c r="J8" s="2" t="s">
        <v>38</v>
      </c>
    </row>
    <row r="9" spans="1:10" ht="32" x14ac:dyDescent="0.2">
      <c r="A9" s="2" t="s">
        <v>57</v>
      </c>
      <c r="B9" s="2" t="s">
        <v>52</v>
      </c>
      <c r="C9" s="2" t="s">
        <v>58</v>
      </c>
      <c r="D9" s="2" t="s">
        <v>59</v>
      </c>
      <c r="E9" s="2" t="s">
        <v>23</v>
      </c>
      <c r="F9" s="2" t="s">
        <v>60</v>
      </c>
      <c r="G9" s="2" t="s">
        <v>23</v>
      </c>
      <c r="H9" s="2" t="s">
        <v>61</v>
      </c>
      <c r="I9" s="2" t="s">
        <v>62</v>
      </c>
      <c r="J9" s="2" t="s">
        <v>63</v>
      </c>
    </row>
    <row r="10" spans="1:10" ht="32" x14ac:dyDescent="0.2">
      <c r="A10" s="2" t="s">
        <v>64</v>
      </c>
      <c r="B10" s="2" t="s">
        <v>52</v>
      </c>
      <c r="C10" s="2" t="s">
        <v>65</v>
      </c>
      <c r="D10" s="2" t="s">
        <v>66</v>
      </c>
      <c r="E10" s="2" t="s">
        <v>29</v>
      </c>
      <c r="F10" s="2" t="s">
        <v>14</v>
      </c>
      <c r="G10" s="2" t="s">
        <v>65</v>
      </c>
      <c r="H10" s="2" t="s">
        <v>14</v>
      </c>
      <c r="I10" s="2" t="s">
        <v>14</v>
      </c>
      <c r="J10" s="2" t="s">
        <v>67</v>
      </c>
    </row>
    <row r="11" spans="1:10" ht="32" x14ac:dyDescent="0.2">
      <c r="A11" s="2" t="s">
        <v>68</v>
      </c>
      <c r="B11" s="2" t="s">
        <v>69</v>
      </c>
      <c r="C11" s="2" t="s">
        <v>70</v>
      </c>
      <c r="D11" s="2" t="s">
        <v>71</v>
      </c>
      <c r="E11" s="2" t="s">
        <v>23</v>
      </c>
      <c r="F11" s="2" t="s">
        <v>72</v>
      </c>
      <c r="G11" s="2" t="s">
        <v>42</v>
      </c>
      <c r="H11" s="2" t="s">
        <v>73</v>
      </c>
      <c r="I11" s="2" t="s">
        <v>14</v>
      </c>
      <c r="J11" s="2" t="s">
        <v>74</v>
      </c>
    </row>
    <row r="12" spans="1:10" ht="16" x14ac:dyDescent="0.2">
      <c r="A12" s="2" t="s">
        <v>75</v>
      </c>
      <c r="B12" s="2" t="s">
        <v>69</v>
      </c>
      <c r="C12" s="2" t="s">
        <v>70</v>
      </c>
      <c r="D12" s="2" t="s">
        <v>76</v>
      </c>
      <c r="E12" s="2" t="s">
        <v>14</v>
      </c>
      <c r="F12" s="2" t="s">
        <v>14</v>
      </c>
      <c r="G12" s="2" t="s">
        <v>517</v>
      </c>
      <c r="H12" s="2" t="s">
        <v>14</v>
      </c>
      <c r="I12" s="2" t="s">
        <v>14</v>
      </c>
      <c r="J12" s="2" t="s">
        <v>38</v>
      </c>
    </row>
    <row r="13" spans="1:10" ht="16" x14ac:dyDescent="0.2">
      <c r="A13" s="2" t="s">
        <v>77</v>
      </c>
      <c r="B13" s="2" t="s">
        <v>69</v>
      </c>
      <c r="C13" s="2" t="s">
        <v>78</v>
      </c>
      <c r="D13" s="2" t="s">
        <v>79</v>
      </c>
      <c r="E13" s="2" t="s">
        <v>14</v>
      </c>
      <c r="F13" s="2" t="s">
        <v>14</v>
      </c>
      <c r="G13" s="2" t="s">
        <v>518</v>
      </c>
      <c r="H13" s="2" t="s">
        <v>80</v>
      </c>
      <c r="I13" s="2" t="s">
        <v>81</v>
      </c>
      <c r="J13" s="2" t="s">
        <v>82</v>
      </c>
    </row>
    <row r="14" spans="1:10" ht="16" x14ac:dyDescent="0.2">
      <c r="A14" s="2" t="s">
        <v>83</v>
      </c>
      <c r="B14" s="2" t="s">
        <v>84</v>
      </c>
      <c r="C14" s="2" t="s">
        <v>85</v>
      </c>
      <c r="D14" s="2" t="s">
        <v>86</v>
      </c>
      <c r="E14" s="2" t="s">
        <v>29</v>
      </c>
      <c r="F14" s="2" t="s">
        <v>87</v>
      </c>
      <c r="G14" s="2" t="s">
        <v>23</v>
      </c>
      <c r="H14" s="2" t="s">
        <v>88</v>
      </c>
      <c r="I14" s="2" t="s">
        <v>14</v>
      </c>
      <c r="J14" s="2" t="s">
        <v>38</v>
      </c>
    </row>
    <row r="15" spans="1:10" ht="16" x14ac:dyDescent="0.2">
      <c r="A15" s="2" t="s">
        <v>89</v>
      </c>
      <c r="B15" s="2" t="s">
        <v>90</v>
      </c>
      <c r="C15" s="2" t="s">
        <v>78</v>
      </c>
      <c r="D15" s="2" t="s">
        <v>91</v>
      </c>
      <c r="E15" s="2" t="s">
        <v>14</v>
      </c>
      <c r="F15" s="2" t="s">
        <v>14</v>
      </c>
      <c r="G15" s="2" t="s">
        <v>518</v>
      </c>
      <c r="H15" s="2" t="s">
        <v>14</v>
      </c>
      <c r="I15" s="2" t="s">
        <v>92</v>
      </c>
      <c r="J15" s="2" t="s">
        <v>38</v>
      </c>
    </row>
    <row r="16" spans="1:10" ht="16" x14ac:dyDescent="0.2">
      <c r="A16" s="2" t="s">
        <v>93</v>
      </c>
      <c r="B16" s="2" t="s">
        <v>90</v>
      </c>
      <c r="C16" s="2" t="s">
        <v>78</v>
      </c>
      <c r="D16" s="2" t="s">
        <v>94</v>
      </c>
      <c r="E16" s="2" t="s">
        <v>14</v>
      </c>
      <c r="F16" s="2" t="s">
        <v>14</v>
      </c>
      <c r="G16" s="2" t="s">
        <v>518</v>
      </c>
      <c r="H16" s="2" t="s">
        <v>14</v>
      </c>
      <c r="I16" s="2" t="s">
        <v>95</v>
      </c>
      <c r="J16" s="2" t="s">
        <v>96</v>
      </c>
    </row>
    <row r="17" spans="1:10" ht="16" x14ac:dyDescent="0.2">
      <c r="A17" s="2" t="s">
        <v>97</v>
      </c>
      <c r="B17" s="2" t="s">
        <v>98</v>
      </c>
      <c r="C17" s="2" t="s">
        <v>99</v>
      </c>
      <c r="D17" s="2" t="s">
        <v>100</v>
      </c>
      <c r="E17" s="2" t="s">
        <v>29</v>
      </c>
      <c r="F17" s="2" t="s">
        <v>101</v>
      </c>
      <c r="G17" s="2" t="s">
        <v>518</v>
      </c>
      <c r="H17" s="2" t="s">
        <v>102</v>
      </c>
      <c r="I17" s="2" t="s">
        <v>14</v>
      </c>
      <c r="J17" s="2" t="s">
        <v>103</v>
      </c>
    </row>
    <row r="18" spans="1:10" ht="16" x14ac:dyDescent="0.2">
      <c r="A18" s="2" t="s">
        <v>104</v>
      </c>
      <c r="B18" s="2" t="s">
        <v>105</v>
      </c>
      <c r="C18" s="2" t="s">
        <v>85</v>
      </c>
      <c r="D18" s="2" t="s">
        <v>106</v>
      </c>
      <c r="E18" s="2" t="s">
        <v>29</v>
      </c>
      <c r="F18" s="2" t="s">
        <v>56</v>
      </c>
      <c r="G18" s="2" t="s">
        <v>518</v>
      </c>
      <c r="H18" s="2" t="s">
        <v>56</v>
      </c>
      <c r="I18" s="2" t="s">
        <v>14</v>
      </c>
      <c r="J18" s="2" t="s">
        <v>38</v>
      </c>
    </row>
    <row r="19" spans="1:10" ht="16" x14ac:dyDescent="0.2">
      <c r="A19" s="2" t="s">
        <v>107</v>
      </c>
      <c r="B19" s="2" t="s">
        <v>108</v>
      </c>
      <c r="C19" s="2" t="s">
        <v>109</v>
      </c>
      <c r="D19" s="2" t="s">
        <v>110</v>
      </c>
      <c r="E19" s="2" t="s">
        <v>29</v>
      </c>
      <c r="F19" s="2" t="s">
        <v>111</v>
      </c>
      <c r="G19" s="2" t="s">
        <v>518</v>
      </c>
      <c r="H19" s="2" t="s">
        <v>112</v>
      </c>
      <c r="I19" s="2" t="s">
        <v>14</v>
      </c>
      <c r="J19" s="2" t="s">
        <v>38</v>
      </c>
    </row>
    <row r="20" spans="1:10" ht="16" x14ac:dyDescent="0.2">
      <c r="A20" s="2" t="s">
        <v>113</v>
      </c>
      <c r="B20" s="2" t="s">
        <v>108</v>
      </c>
      <c r="C20" s="2" t="s">
        <v>58</v>
      </c>
      <c r="D20" s="2" t="s">
        <v>114</v>
      </c>
      <c r="E20" s="2" t="s">
        <v>23</v>
      </c>
      <c r="F20" s="2" t="s">
        <v>115</v>
      </c>
      <c r="G20" s="2" t="s">
        <v>42</v>
      </c>
      <c r="H20" s="2" t="s">
        <v>116</v>
      </c>
      <c r="I20" s="2" t="s">
        <v>14</v>
      </c>
      <c r="J20" s="2" t="s">
        <v>117</v>
      </c>
    </row>
    <row r="21" spans="1:10" ht="32" x14ac:dyDescent="0.2">
      <c r="A21" s="2" t="s">
        <v>118</v>
      </c>
      <c r="B21" s="2" t="s">
        <v>119</v>
      </c>
      <c r="C21" s="2" t="s">
        <v>34</v>
      </c>
      <c r="D21" s="2" t="s">
        <v>120</v>
      </c>
      <c r="E21" s="2" t="s">
        <v>23</v>
      </c>
      <c r="F21" s="2" t="s">
        <v>121</v>
      </c>
      <c r="G21" s="2" t="s">
        <v>42</v>
      </c>
      <c r="H21" s="2" t="s">
        <v>122</v>
      </c>
      <c r="I21" s="2" t="s">
        <v>123</v>
      </c>
      <c r="J21" s="2" t="s">
        <v>124</v>
      </c>
    </row>
    <row r="22" spans="1:10" ht="16" x14ac:dyDescent="0.2">
      <c r="A22" s="2" t="s">
        <v>125</v>
      </c>
      <c r="B22" s="2" t="s">
        <v>126</v>
      </c>
      <c r="C22" s="2" t="s">
        <v>127</v>
      </c>
      <c r="D22" s="2" t="s">
        <v>128</v>
      </c>
      <c r="E22" s="2" t="s">
        <v>42</v>
      </c>
      <c r="F22" s="2" t="s">
        <v>129</v>
      </c>
      <c r="G22" s="2" t="s">
        <v>42</v>
      </c>
      <c r="H22" s="2" t="s">
        <v>130</v>
      </c>
      <c r="I22" s="2" t="s">
        <v>131</v>
      </c>
      <c r="J22" s="2" t="s">
        <v>132</v>
      </c>
    </row>
    <row r="23" spans="1:10" ht="16" x14ac:dyDescent="0.2">
      <c r="A23" s="2" t="s">
        <v>133</v>
      </c>
      <c r="B23" s="2" t="s">
        <v>134</v>
      </c>
      <c r="C23" s="2" t="s">
        <v>135</v>
      </c>
      <c r="D23" s="2" t="s">
        <v>136</v>
      </c>
      <c r="E23" s="2" t="s">
        <v>23</v>
      </c>
      <c r="F23" s="2" t="s">
        <v>137</v>
      </c>
      <c r="G23" s="2" t="s">
        <v>42</v>
      </c>
      <c r="H23" s="2" t="s">
        <v>138</v>
      </c>
      <c r="I23" s="2" t="s">
        <v>139</v>
      </c>
      <c r="J23" s="2" t="s">
        <v>96</v>
      </c>
    </row>
    <row r="24" spans="1:10" ht="16" x14ac:dyDescent="0.2">
      <c r="A24" s="2" t="s">
        <v>140</v>
      </c>
      <c r="B24" s="2" t="s">
        <v>134</v>
      </c>
      <c r="C24" s="2" t="s">
        <v>135</v>
      </c>
      <c r="D24" s="2" t="s">
        <v>141</v>
      </c>
      <c r="E24" s="2" t="s">
        <v>29</v>
      </c>
      <c r="F24" s="2" t="s">
        <v>142</v>
      </c>
      <c r="G24" s="2" t="s">
        <v>42</v>
      </c>
      <c r="H24" s="2" t="s">
        <v>56</v>
      </c>
      <c r="I24" s="2" t="s">
        <v>143</v>
      </c>
      <c r="J24" s="2" t="s">
        <v>38</v>
      </c>
    </row>
    <row r="25" spans="1:10" ht="16" x14ac:dyDescent="0.2">
      <c r="A25" s="2" t="s">
        <v>144</v>
      </c>
      <c r="B25" s="2" t="s">
        <v>145</v>
      </c>
      <c r="C25" s="2" t="s">
        <v>146</v>
      </c>
      <c r="D25" s="2" t="s">
        <v>147</v>
      </c>
      <c r="E25" s="2" t="s">
        <v>29</v>
      </c>
      <c r="F25" s="2" t="s">
        <v>56</v>
      </c>
      <c r="G25" s="2" t="s">
        <v>65</v>
      </c>
      <c r="H25" s="2" t="s">
        <v>148</v>
      </c>
      <c r="I25" s="2" t="s">
        <v>149</v>
      </c>
      <c r="J25" s="2" t="s">
        <v>150</v>
      </c>
    </row>
    <row r="26" spans="1:10" ht="16" x14ac:dyDescent="0.2">
      <c r="A26" s="2" t="s">
        <v>151</v>
      </c>
      <c r="B26" s="2" t="s">
        <v>145</v>
      </c>
      <c r="C26" s="2" t="s">
        <v>152</v>
      </c>
      <c r="D26" s="2" t="s">
        <v>153</v>
      </c>
      <c r="E26" s="2" t="s">
        <v>29</v>
      </c>
      <c r="F26" s="2" t="s">
        <v>56</v>
      </c>
      <c r="G26" s="2" t="s">
        <v>65</v>
      </c>
      <c r="H26" s="2" t="s">
        <v>56</v>
      </c>
      <c r="I26" s="2" t="s">
        <v>14</v>
      </c>
      <c r="J26" s="2" t="s">
        <v>38</v>
      </c>
    </row>
    <row r="27" spans="1:10" ht="16" x14ac:dyDescent="0.2">
      <c r="A27" s="2" t="s">
        <v>154</v>
      </c>
      <c r="B27" s="2" t="s">
        <v>145</v>
      </c>
      <c r="C27" s="2" t="s">
        <v>155</v>
      </c>
      <c r="D27" s="2" t="s">
        <v>156</v>
      </c>
      <c r="E27" s="2" t="s">
        <v>29</v>
      </c>
      <c r="F27" s="2" t="s">
        <v>56</v>
      </c>
      <c r="G27" s="2" t="s">
        <v>65</v>
      </c>
      <c r="H27" s="2" t="s">
        <v>56</v>
      </c>
      <c r="I27" s="2" t="s">
        <v>14</v>
      </c>
      <c r="J27" s="2" t="s">
        <v>38</v>
      </c>
    </row>
    <row r="28" spans="1:10" ht="16" x14ac:dyDescent="0.2">
      <c r="A28" s="2" t="s">
        <v>157</v>
      </c>
      <c r="B28" s="2" t="s">
        <v>145</v>
      </c>
      <c r="C28" s="2" t="s">
        <v>158</v>
      </c>
      <c r="D28" s="2" t="s">
        <v>159</v>
      </c>
      <c r="E28" s="2" t="s">
        <v>29</v>
      </c>
      <c r="F28" s="2" t="s">
        <v>56</v>
      </c>
      <c r="G28" s="2" t="s">
        <v>65</v>
      </c>
      <c r="H28" s="2" t="s">
        <v>160</v>
      </c>
      <c r="I28" s="2" t="s">
        <v>14</v>
      </c>
      <c r="J28" s="2" t="s">
        <v>38</v>
      </c>
    </row>
    <row r="29" spans="1:10" ht="16" x14ac:dyDescent="0.2">
      <c r="A29" s="2" t="s">
        <v>161</v>
      </c>
      <c r="B29" s="2" t="s">
        <v>145</v>
      </c>
      <c r="C29" s="2" t="s">
        <v>162</v>
      </c>
      <c r="D29" s="2" t="s">
        <v>163</v>
      </c>
      <c r="E29" s="2" t="s">
        <v>29</v>
      </c>
      <c r="F29" s="2" t="s">
        <v>56</v>
      </c>
      <c r="G29" s="2" t="s">
        <v>517</v>
      </c>
      <c r="H29" s="2" t="s">
        <v>56</v>
      </c>
      <c r="I29" s="2" t="s">
        <v>14</v>
      </c>
      <c r="J29" s="2" t="s">
        <v>38</v>
      </c>
    </row>
    <row r="30" spans="1:10" ht="16" x14ac:dyDescent="0.2">
      <c r="A30" s="2" t="s">
        <v>164</v>
      </c>
      <c r="B30" s="2" t="s">
        <v>145</v>
      </c>
      <c r="C30" s="2" t="s">
        <v>165</v>
      </c>
      <c r="D30" s="2" t="s">
        <v>166</v>
      </c>
      <c r="E30" s="2" t="s">
        <v>29</v>
      </c>
      <c r="F30" s="2" t="s">
        <v>56</v>
      </c>
      <c r="G30" s="2" t="s">
        <v>65</v>
      </c>
      <c r="H30" s="2" t="s">
        <v>167</v>
      </c>
      <c r="I30" s="2" t="s">
        <v>14</v>
      </c>
      <c r="J30" s="2" t="s">
        <v>38</v>
      </c>
    </row>
    <row r="31" spans="1:10" ht="16" x14ac:dyDescent="0.2">
      <c r="A31" s="2" t="s">
        <v>168</v>
      </c>
      <c r="B31" s="2" t="s">
        <v>145</v>
      </c>
      <c r="C31" s="2" t="s">
        <v>169</v>
      </c>
      <c r="D31" s="2" t="s">
        <v>170</v>
      </c>
      <c r="E31" s="2" t="s">
        <v>29</v>
      </c>
      <c r="F31" s="2" t="s">
        <v>171</v>
      </c>
      <c r="G31" s="2" t="s">
        <v>42</v>
      </c>
      <c r="H31" s="2" t="s">
        <v>172</v>
      </c>
      <c r="I31" s="2" t="s">
        <v>14</v>
      </c>
      <c r="J31" s="2" t="s">
        <v>38</v>
      </c>
    </row>
    <row r="32" spans="1:10" ht="16" x14ac:dyDescent="0.2">
      <c r="A32" s="2" t="s">
        <v>173</v>
      </c>
      <c r="B32" s="2" t="s">
        <v>174</v>
      </c>
      <c r="C32" s="2" t="s">
        <v>175</v>
      </c>
      <c r="D32" s="2" t="s">
        <v>176</v>
      </c>
      <c r="E32" s="2" t="s">
        <v>29</v>
      </c>
      <c r="F32" s="2" t="s">
        <v>56</v>
      </c>
      <c r="G32" s="2" t="s">
        <v>517</v>
      </c>
      <c r="H32" s="2" t="s">
        <v>56</v>
      </c>
      <c r="I32" s="2" t="s">
        <v>14</v>
      </c>
      <c r="J32" s="2" t="s">
        <v>38</v>
      </c>
    </row>
    <row r="33" spans="1:10" ht="16" x14ac:dyDescent="0.2">
      <c r="A33" s="2" t="s">
        <v>177</v>
      </c>
      <c r="B33" s="2" t="s">
        <v>174</v>
      </c>
      <c r="C33" s="2" t="s">
        <v>175</v>
      </c>
      <c r="D33" s="2" t="s">
        <v>178</v>
      </c>
      <c r="E33" s="2" t="s">
        <v>29</v>
      </c>
      <c r="F33" s="2" t="s">
        <v>56</v>
      </c>
      <c r="G33" s="2" t="s">
        <v>65</v>
      </c>
      <c r="H33" s="2" t="s">
        <v>179</v>
      </c>
      <c r="I33" s="2" t="s">
        <v>14</v>
      </c>
      <c r="J33" s="2" t="s">
        <v>38</v>
      </c>
    </row>
    <row r="34" spans="1:10" ht="16" x14ac:dyDescent="0.2">
      <c r="A34" s="2" t="s">
        <v>180</v>
      </c>
      <c r="B34" s="2" t="s">
        <v>174</v>
      </c>
      <c r="C34" s="2" t="s">
        <v>175</v>
      </c>
      <c r="D34" s="2" t="s">
        <v>181</v>
      </c>
      <c r="E34" s="2" t="s">
        <v>29</v>
      </c>
      <c r="F34" s="2" t="s">
        <v>56</v>
      </c>
      <c r="G34" s="2" t="s">
        <v>517</v>
      </c>
      <c r="H34" s="2" t="s">
        <v>56</v>
      </c>
      <c r="I34" s="2" t="s">
        <v>14</v>
      </c>
      <c r="J34" s="2" t="s">
        <v>38</v>
      </c>
    </row>
    <row r="35" spans="1:10" ht="16" x14ac:dyDescent="0.2">
      <c r="A35" s="2" t="s">
        <v>182</v>
      </c>
      <c r="B35" s="2" t="s">
        <v>183</v>
      </c>
      <c r="C35" s="2" t="s">
        <v>184</v>
      </c>
      <c r="D35" s="2" t="s">
        <v>185</v>
      </c>
      <c r="E35" s="2" t="s">
        <v>29</v>
      </c>
      <c r="F35" s="2" t="s">
        <v>56</v>
      </c>
      <c r="G35" s="2" t="s">
        <v>65</v>
      </c>
      <c r="H35" s="2" t="s">
        <v>56</v>
      </c>
      <c r="I35" s="2" t="s">
        <v>14</v>
      </c>
      <c r="J35" s="2" t="s">
        <v>38</v>
      </c>
    </row>
    <row r="36" spans="1:10" ht="16" x14ac:dyDescent="0.2">
      <c r="A36" s="2" t="s">
        <v>186</v>
      </c>
      <c r="B36" s="2" t="s">
        <v>187</v>
      </c>
      <c r="C36" s="2" t="s">
        <v>188</v>
      </c>
      <c r="D36" s="2" t="s">
        <v>189</v>
      </c>
      <c r="E36" s="2" t="s">
        <v>23</v>
      </c>
      <c r="F36" s="2" t="s">
        <v>190</v>
      </c>
      <c r="G36" s="2" t="s">
        <v>23</v>
      </c>
      <c r="H36" s="2" t="s">
        <v>191</v>
      </c>
      <c r="I36" s="2" t="s">
        <v>14</v>
      </c>
      <c r="J36" s="2" t="s">
        <v>192</v>
      </c>
    </row>
    <row r="37" spans="1:10" ht="16" x14ac:dyDescent="0.2">
      <c r="A37" s="2" t="s">
        <v>193</v>
      </c>
      <c r="B37" s="2" t="s">
        <v>194</v>
      </c>
      <c r="C37" s="2" t="s">
        <v>195</v>
      </c>
      <c r="D37" s="2" t="s">
        <v>196</v>
      </c>
      <c r="E37" s="2" t="s">
        <v>29</v>
      </c>
      <c r="F37" s="2" t="s">
        <v>56</v>
      </c>
      <c r="G37" s="2" t="s">
        <v>42</v>
      </c>
      <c r="H37" s="2" t="s">
        <v>197</v>
      </c>
      <c r="I37" s="2" t="s">
        <v>198</v>
      </c>
      <c r="J37" s="2" t="s">
        <v>199</v>
      </c>
    </row>
    <row r="38" spans="1:10" ht="16" x14ac:dyDescent="0.2">
      <c r="A38" s="2" t="s">
        <v>200</v>
      </c>
      <c r="B38" s="2" t="s">
        <v>194</v>
      </c>
      <c r="C38" s="2" t="s">
        <v>195</v>
      </c>
      <c r="D38" s="2" t="s">
        <v>201</v>
      </c>
      <c r="E38" s="2" t="s">
        <v>29</v>
      </c>
      <c r="F38" s="2" t="s">
        <v>56</v>
      </c>
      <c r="G38" s="2" t="s">
        <v>42</v>
      </c>
      <c r="H38" s="2" t="s">
        <v>202</v>
      </c>
      <c r="I38" s="2" t="s">
        <v>203</v>
      </c>
      <c r="J38" s="2" t="s">
        <v>204</v>
      </c>
    </row>
    <row r="39" spans="1:10" ht="16" x14ac:dyDescent="0.2">
      <c r="A39" s="2" t="s">
        <v>205</v>
      </c>
      <c r="B39" s="2" t="s">
        <v>194</v>
      </c>
      <c r="C39" s="2" t="s">
        <v>206</v>
      </c>
      <c r="D39" s="2" t="s">
        <v>207</v>
      </c>
      <c r="E39" s="2" t="s">
        <v>29</v>
      </c>
      <c r="F39" s="2" t="s">
        <v>56</v>
      </c>
      <c r="G39" s="2" t="s">
        <v>42</v>
      </c>
      <c r="H39" s="2" t="s">
        <v>208</v>
      </c>
      <c r="I39" s="2" t="s">
        <v>209</v>
      </c>
      <c r="J39" s="2" t="s">
        <v>96</v>
      </c>
    </row>
    <row r="40" spans="1:10" ht="16" x14ac:dyDescent="0.2">
      <c r="A40" s="2" t="s">
        <v>210</v>
      </c>
      <c r="B40" s="2" t="s">
        <v>58</v>
      </c>
      <c r="C40" s="2" t="s">
        <v>211</v>
      </c>
      <c r="D40" s="2" t="s">
        <v>212</v>
      </c>
      <c r="E40" s="2" t="s">
        <v>42</v>
      </c>
      <c r="F40" s="2" t="s">
        <v>213</v>
      </c>
      <c r="G40" s="2" t="s">
        <v>42</v>
      </c>
      <c r="H40" s="2" t="s">
        <v>214</v>
      </c>
      <c r="I40" s="2" t="s">
        <v>215</v>
      </c>
      <c r="J40" s="2" t="s">
        <v>199</v>
      </c>
    </row>
    <row r="41" spans="1:10" ht="16" x14ac:dyDescent="0.2">
      <c r="A41" s="2" t="s">
        <v>216</v>
      </c>
      <c r="B41" s="2" t="s">
        <v>58</v>
      </c>
      <c r="C41" s="2" t="s">
        <v>217</v>
      </c>
      <c r="D41" s="2" t="s">
        <v>218</v>
      </c>
      <c r="E41" s="2" t="s">
        <v>42</v>
      </c>
      <c r="F41" s="2" t="s">
        <v>219</v>
      </c>
      <c r="G41" s="2" t="s">
        <v>42</v>
      </c>
      <c r="H41" s="2" t="s">
        <v>220</v>
      </c>
      <c r="I41" s="2" t="s">
        <v>221</v>
      </c>
      <c r="J41" s="2" t="s">
        <v>199</v>
      </c>
    </row>
    <row r="42" spans="1:10" ht="16" x14ac:dyDescent="0.2">
      <c r="A42" s="2" t="s">
        <v>222</v>
      </c>
      <c r="B42" s="2" t="s">
        <v>58</v>
      </c>
      <c r="C42" s="2" t="s">
        <v>223</v>
      </c>
      <c r="D42" s="2" t="s">
        <v>224</v>
      </c>
      <c r="E42" s="2" t="s">
        <v>42</v>
      </c>
      <c r="F42" s="2" t="s">
        <v>225</v>
      </c>
      <c r="G42" s="2" t="s">
        <v>42</v>
      </c>
      <c r="H42" s="2" t="s">
        <v>14</v>
      </c>
      <c r="I42" s="2" t="s">
        <v>221</v>
      </c>
      <c r="J42" s="2" t="s">
        <v>199</v>
      </c>
    </row>
    <row r="43" spans="1:10" ht="32" x14ac:dyDescent="0.2">
      <c r="A43" s="2" t="s">
        <v>226</v>
      </c>
      <c r="B43" s="2" t="s">
        <v>58</v>
      </c>
      <c r="C43" s="2" t="s">
        <v>227</v>
      </c>
      <c r="D43" s="2" t="s">
        <v>228</v>
      </c>
      <c r="E43" s="2" t="s">
        <v>42</v>
      </c>
      <c r="F43" s="2" t="s">
        <v>229</v>
      </c>
      <c r="G43" s="2" t="s">
        <v>42</v>
      </c>
      <c r="H43" s="2" t="s">
        <v>14</v>
      </c>
      <c r="I43" s="2" t="s">
        <v>230</v>
      </c>
      <c r="J43" s="2" t="s">
        <v>199</v>
      </c>
    </row>
    <row r="44" spans="1:10" ht="16" x14ac:dyDescent="0.2">
      <c r="A44" s="2" t="s">
        <v>231</v>
      </c>
      <c r="B44" s="2" t="s">
        <v>58</v>
      </c>
      <c r="C44" s="2" t="s">
        <v>232</v>
      </c>
      <c r="D44" s="2" t="s">
        <v>233</v>
      </c>
      <c r="E44" s="2" t="s">
        <v>42</v>
      </c>
      <c r="F44" s="2" t="s">
        <v>234</v>
      </c>
      <c r="G44" s="2" t="s">
        <v>42</v>
      </c>
      <c r="H44" s="2" t="s">
        <v>235</v>
      </c>
      <c r="I44" s="2" t="s">
        <v>44</v>
      </c>
      <c r="J44" s="2" t="s">
        <v>199</v>
      </c>
    </row>
    <row r="45" spans="1:10" ht="16" x14ac:dyDescent="0.2">
      <c r="A45" s="2" t="s">
        <v>236</v>
      </c>
      <c r="B45" s="2" t="s">
        <v>58</v>
      </c>
      <c r="C45" s="2" t="s">
        <v>237</v>
      </c>
      <c r="D45" s="2" t="s">
        <v>238</v>
      </c>
      <c r="E45" s="2" t="s">
        <v>42</v>
      </c>
      <c r="F45" s="2" t="s">
        <v>239</v>
      </c>
      <c r="G45" s="2" t="s">
        <v>42</v>
      </c>
      <c r="H45" s="2" t="s">
        <v>240</v>
      </c>
      <c r="I45" s="2" t="s">
        <v>241</v>
      </c>
      <c r="J45" s="2" t="s">
        <v>242</v>
      </c>
    </row>
    <row r="46" spans="1:10" ht="16" x14ac:dyDescent="0.2">
      <c r="A46" s="2" t="s">
        <v>243</v>
      </c>
      <c r="B46" s="2" t="s">
        <v>58</v>
      </c>
      <c r="C46" s="2" t="s">
        <v>237</v>
      </c>
      <c r="D46" s="2" t="s">
        <v>244</v>
      </c>
      <c r="E46" s="2" t="s">
        <v>42</v>
      </c>
      <c r="F46" s="2" t="s">
        <v>245</v>
      </c>
      <c r="G46" s="2" t="s">
        <v>42</v>
      </c>
      <c r="H46" s="2" t="s">
        <v>246</v>
      </c>
      <c r="I46" s="2" t="s">
        <v>237</v>
      </c>
      <c r="J46" s="2" t="s">
        <v>199</v>
      </c>
    </row>
    <row r="47" spans="1:10" ht="16" x14ac:dyDescent="0.2">
      <c r="A47" s="2" t="s">
        <v>247</v>
      </c>
      <c r="B47" s="2" t="s">
        <v>58</v>
      </c>
      <c r="C47" s="2" t="s">
        <v>248</v>
      </c>
      <c r="D47" s="2" t="s">
        <v>249</v>
      </c>
      <c r="E47" s="2" t="s">
        <v>42</v>
      </c>
      <c r="F47" s="2" t="s">
        <v>250</v>
      </c>
      <c r="G47" s="2" t="s">
        <v>42</v>
      </c>
      <c r="H47" s="2" t="s">
        <v>251</v>
      </c>
      <c r="I47" s="2" t="s">
        <v>44</v>
      </c>
      <c r="J47" s="2" t="s">
        <v>199</v>
      </c>
    </row>
    <row r="48" spans="1:10" ht="16" x14ac:dyDescent="0.2">
      <c r="A48" s="2" t="s">
        <v>252</v>
      </c>
      <c r="B48" s="2" t="s">
        <v>58</v>
      </c>
      <c r="C48" s="2" t="s">
        <v>253</v>
      </c>
      <c r="D48" s="2" t="s">
        <v>254</v>
      </c>
      <c r="E48" s="2" t="s">
        <v>42</v>
      </c>
      <c r="F48" s="2" t="s">
        <v>255</v>
      </c>
      <c r="G48" s="2" t="s">
        <v>42</v>
      </c>
      <c r="H48" s="2" t="s">
        <v>256</v>
      </c>
      <c r="I48" s="2" t="s">
        <v>221</v>
      </c>
      <c r="J48" s="2" t="s">
        <v>257</v>
      </c>
    </row>
    <row r="49" spans="1:10" ht="16" x14ac:dyDescent="0.2">
      <c r="A49" s="2" t="s">
        <v>258</v>
      </c>
      <c r="B49" s="2" t="s">
        <v>134</v>
      </c>
      <c r="C49" s="2" t="s">
        <v>259</v>
      </c>
      <c r="D49" s="2" t="s">
        <v>260</v>
      </c>
      <c r="E49" s="2" t="s">
        <v>14</v>
      </c>
      <c r="F49" s="2" t="s">
        <v>14</v>
      </c>
      <c r="G49" s="2" t="s">
        <v>23</v>
      </c>
      <c r="H49" s="2" t="s">
        <v>14</v>
      </c>
      <c r="I49" s="2" t="s">
        <v>167</v>
      </c>
      <c r="J49" s="2" t="s">
        <v>261</v>
      </c>
    </row>
    <row r="50" spans="1:10" ht="16" x14ac:dyDescent="0.2">
      <c r="A50" s="2" t="s">
        <v>262</v>
      </c>
      <c r="B50" s="2" t="s">
        <v>134</v>
      </c>
      <c r="C50" s="2" t="s">
        <v>263</v>
      </c>
      <c r="D50" s="2" t="s">
        <v>264</v>
      </c>
      <c r="E50" s="2" t="s">
        <v>14</v>
      </c>
      <c r="F50" s="2" t="s">
        <v>14</v>
      </c>
      <c r="G50" s="2" t="s">
        <v>42</v>
      </c>
      <c r="H50" s="2" t="s">
        <v>14</v>
      </c>
      <c r="I50" s="2" t="s">
        <v>265</v>
      </c>
      <c r="J50" s="2" t="s">
        <v>266</v>
      </c>
    </row>
    <row r="51" spans="1:10" ht="16" x14ac:dyDescent="0.2">
      <c r="A51" s="2" t="s">
        <v>267</v>
      </c>
      <c r="B51" s="2" t="s">
        <v>134</v>
      </c>
      <c r="C51" s="2" t="s">
        <v>263</v>
      </c>
      <c r="D51" s="2" t="s">
        <v>268</v>
      </c>
      <c r="E51" s="2" t="s">
        <v>29</v>
      </c>
      <c r="F51" s="2" t="s">
        <v>56</v>
      </c>
      <c r="G51" s="2" t="s">
        <v>42</v>
      </c>
      <c r="H51" s="2" t="s">
        <v>269</v>
      </c>
      <c r="I51" s="2" t="s">
        <v>270</v>
      </c>
      <c r="J51" s="2" t="s">
        <v>38</v>
      </c>
    </row>
  </sheetData>
  <autoFilter ref="A1:J51" xr:uid="{00000000-0009-0000-0000-000000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18FD2-3684-A34F-9EFC-D810846331FD}">
  <dimension ref="C2:L33"/>
  <sheetViews>
    <sheetView topLeftCell="A5" workbookViewId="0">
      <selection activeCell="D34" sqref="D34"/>
    </sheetView>
  </sheetViews>
  <sheetFormatPr baseColWidth="10" defaultRowHeight="15" x14ac:dyDescent="0.2"/>
  <cols>
    <col min="3" max="3" width="14.83203125" bestFit="1" customWidth="1"/>
    <col min="4" max="4" width="83" style="9" bestFit="1" customWidth="1"/>
    <col min="7" max="7" width="10.83203125" style="10"/>
  </cols>
  <sheetData>
    <row r="2" spans="3:12" x14ac:dyDescent="0.2">
      <c r="G2" s="7" t="s">
        <v>305</v>
      </c>
      <c r="H2" s="7"/>
      <c r="I2" s="7"/>
      <c r="J2" s="7"/>
      <c r="K2" s="7"/>
      <c r="L2" s="7"/>
    </row>
    <row r="3" spans="3:12" ht="16" x14ac:dyDescent="0.2">
      <c r="C3" t="s">
        <v>275</v>
      </c>
      <c r="D3" s="9" t="s">
        <v>276</v>
      </c>
      <c r="G3" s="10" t="s">
        <v>300</v>
      </c>
    </row>
    <row r="4" spans="3:12" ht="16" x14ac:dyDescent="0.2">
      <c r="C4" t="s">
        <v>280</v>
      </c>
      <c r="D4" s="9" t="s">
        <v>277</v>
      </c>
      <c r="G4" s="10" t="s">
        <v>301</v>
      </c>
    </row>
    <row r="5" spans="3:12" ht="16" x14ac:dyDescent="0.2">
      <c r="C5" t="s">
        <v>278</v>
      </c>
      <c r="D5" s="9" t="s">
        <v>279</v>
      </c>
      <c r="G5" s="10" t="s">
        <v>302</v>
      </c>
    </row>
    <row r="6" spans="3:12" ht="16" x14ac:dyDescent="0.2">
      <c r="C6" t="s">
        <v>281</v>
      </c>
      <c r="D6" s="9" t="s">
        <v>282</v>
      </c>
      <c r="G6" s="10" t="s">
        <v>303</v>
      </c>
    </row>
    <row r="7" spans="3:12" x14ac:dyDescent="0.2">
      <c r="C7" t="s">
        <v>283</v>
      </c>
      <c r="D7" s="9">
        <v>14</v>
      </c>
      <c r="G7" s="10" t="s">
        <v>304</v>
      </c>
    </row>
    <row r="8" spans="3:12" x14ac:dyDescent="0.2">
      <c r="C8" t="s">
        <v>284</v>
      </c>
      <c r="D8" s="9">
        <v>319</v>
      </c>
    </row>
    <row r="9" spans="3:12" ht="16" x14ac:dyDescent="0.2">
      <c r="C9" t="s">
        <v>285</v>
      </c>
      <c r="D9" s="9" t="s">
        <v>286</v>
      </c>
    </row>
    <row r="10" spans="3:12" x14ac:dyDescent="0.2">
      <c r="C10" t="s">
        <v>287</v>
      </c>
      <c r="D10" s="9">
        <v>1190</v>
      </c>
    </row>
    <row r="11" spans="3:12" x14ac:dyDescent="0.2">
      <c r="C11" t="s">
        <v>288</v>
      </c>
      <c r="D11" s="9">
        <v>454</v>
      </c>
    </row>
    <row r="12" spans="3:12" x14ac:dyDescent="0.2">
      <c r="C12" t="s">
        <v>289</v>
      </c>
      <c r="D12" s="9">
        <v>736</v>
      </c>
    </row>
    <row r="13" spans="3:12" ht="16" x14ac:dyDescent="0.2">
      <c r="C13" t="s">
        <v>290</v>
      </c>
      <c r="D13" s="9" t="s">
        <v>291</v>
      </c>
    </row>
    <row r="14" spans="3:12" x14ac:dyDescent="0.2">
      <c r="C14" t="s">
        <v>292</v>
      </c>
      <c r="D14" s="11">
        <v>3.2000000000000001E-2</v>
      </c>
      <c r="G14" s="8" t="s">
        <v>371</v>
      </c>
      <c r="H14" s="8"/>
      <c r="I14" s="8"/>
      <c r="J14" s="8"/>
      <c r="K14" s="8"/>
      <c r="L14" s="8"/>
    </row>
    <row r="15" spans="3:12" x14ac:dyDescent="0.2">
      <c r="C15" t="s">
        <v>293</v>
      </c>
      <c r="D15" s="11">
        <v>0.51200000000000001</v>
      </c>
      <c r="G15" s="10" t="s">
        <v>332</v>
      </c>
    </row>
    <row r="16" spans="3:12" ht="16" x14ac:dyDescent="0.2">
      <c r="C16" t="s">
        <v>294</v>
      </c>
      <c r="D16" s="9" t="s">
        <v>295</v>
      </c>
      <c r="E16">
        <v>2028</v>
      </c>
      <c r="F16" t="s">
        <v>376</v>
      </c>
      <c r="G16" s="10" t="s">
        <v>370</v>
      </c>
    </row>
    <row r="17" spans="3:7" ht="16" x14ac:dyDescent="0.2">
      <c r="C17" t="s">
        <v>297</v>
      </c>
      <c r="D17" s="9" t="s">
        <v>296</v>
      </c>
      <c r="E17">
        <v>2030</v>
      </c>
      <c r="F17" t="s">
        <v>377</v>
      </c>
      <c r="G17" s="10" t="s">
        <v>372</v>
      </c>
    </row>
    <row r="18" spans="3:7" ht="16" x14ac:dyDescent="0.2">
      <c r="C18" t="s">
        <v>298</v>
      </c>
      <c r="D18" s="9" t="s">
        <v>299</v>
      </c>
      <c r="E18">
        <v>2028</v>
      </c>
      <c r="F18" t="s">
        <v>378</v>
      </c>
      <c r="G18" s="10" t="s">
        <v>373</v>
      </c>
    </row>
    <row r="19" spans="3:7" x14ac:dyDescent="0.2">
      <c r="C19" t="s">
        <v>309</v>
      </c>
      <c r="D19" s="12">
        <v>0.26</v>
      </c>
      <c r="E19">
        <v>2028</v>
      </c>
      <c r="F19" t="s">
        <v>379</v>
      </c>
      <c r="G19" s="10" t="s">
        <v>374</v>
      </c>
    </row>
    <row r="20" spans="3:7" ht="32" x14ac:dyDescent="0.2">
      <c r="C20" t="s">
        <v>310</v>
      </c>
      <c r="D20" s="9" t="s">
        <v>311</v>
      </c>
      <c r="E20">
        <v>2028</v>
      </c>
      <c r="F20" t="s">
        <v>380</v>
      </c>
      <c r="G20" s="10" t="s">
        <v>375</v>
      </c>
    </row>
    <row r="21" spans="3:7" ht="80" x14ac:dyDescent="0.2">
      <c r="C21" t="s">
        <v>312</v>
      </c>
      <c r="D21" s="9" t="s">
        <v>313</v>
      </c>
    </row>
    <row r="22" spans="3:7" ht="16" x14ac:dyDescent="0.2">
      <c r="C22" t="s">
        <v>317</v>
      </c>
      <c r="D22" s="9" t="s">
        <v>318</v>
      </c>
    </row>
    <row r="23" spans="3:7" ht="16" x14ac:dyDescent="0.2">
      <c r="C23" t="s">
        <v>319</v>
      </c>
      <c r="D23" s="9" t="s">
        <v>320</v>
      </c>
    </row>
    <row r="24" spans="3:7" ht="16" x14ac:dyDescent="0.2">
      <c r="C24" t="s">
        <v>416</v>
      </c>
      <c r="D24" s="9" t="s">
        <v>413</v>
      </c>
    </row>
    <row r="25" spans="3:7" ht="16" x14ac:dyDescent="0.2">
      <c r="C25" t="s">
        <v>414</v>
      </c>
      <c r="D25" s="9" t="s">
        <v>415</v>
      </c>
    </row>
    <row r="26" spans="3:7" ht="16" x14ac:dyDescent="0.2">
      <c r="C26" t="s">
        <v>417</v>
      </c>
      <c r="D26" s="9" t="s">
        <v>418</v>
      </c>
    </row>
    <row r="27" spans="3:7" ht="16" x14ac:dyDescent="0.2">
      <c r="C27" t="s">
        <v>419</v>
      </c>
      <c r="D27" s="9" t="s">
        <v>420</v>
      </c>
    </row>
    <row r="28" spans="3:7" ht="16" x14ac:dyDescent="0.2">
      <c r="C28" t="s">
        <v>421</v>
      </c>
      <c r="D28" s="9" t="s">
        <v>422</v>
      </c>
    </row>
    <row r="29" spans="3:7" ht="16" x14ac:dyDescent="0.2">
      <c r="C29" t="s">
        <v>423</v>
      </c>
      <c r="D29" s="9" t="s">
        <v>424</v>
      </c>
    </row>
    <row r="30" spans="3:7" ht="16" x14ac:dyDescent="0.2">
      <c r="C30" t="s">
        <v>425</v>
      </c>
      <c r="D30" s="9" t="s">
        <v>426</v>
      </c>
    </row>
    <row r="31" spans="3:7" x14ac:dyDescent="0.2">
      <c r="C31" t="s">
        <v>427</v>
      </c>
      <c r="D31" s="9">
        <v>60000</v>
      </c>
    </row>
    <row r="32" spans="3:7" ht="16" x14ac:dyDescent="0.2">
      <c r="C32" t="s">
        <v>428</v>
      </c>
      <c r="D32" s="9" t="s">
        <v>429</v>
      </c>
    </row>
    <row r="33" spans="3:4" ht="32" x14ac:dyDescent="0.2">
      <c r="C33" t="s">
        <v>502</v>
      </c>
      <c r="D33" s="9" t="s">
        <v>503</v>
      </c>
    </row>
  </sheetData>
  <mergeCells count="2">
    <mergeCell ref="G2:L2"/>
    <mergeCell ref="G14:L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3600C-9935-A14E-AA5A-0DDA4280A74A}">
  <dimension ref="B4:J37"/>
  <sheetViews>
    <sheetView workbookViewId="0">
      <selection activeCell="D35" sqref="D35"/>
    </sheetView>
  </sheetViews>
  <sheetFormatPr baseColWidth="10" defaultRowHeight="15" x14ac:dyDescent="0.2"/>
  <cols>
    <col min="3" max="3" width="18.33203125" bestFit="1" customWidth="1"/>
  </cols>
  <sheetData>
    <row r="4" spans="2:5" x14ac:dyDescent="0.2">
      <c r="B4" t="s">
        <v>430</v>
      </c>
      <c r="C4" t="s">
        <v>431</v>
      </c>
    </row>
    <row r="5" spans="2:5" x14ac:dyDescent="0.2">
      <c r="B5" t="s">
        <v>402</v>
      </c>
      <c r="C5" t="s">
        <v>403</v>
      </c>
    </row>
    <row r="6" spans="2:5" x14ac:dyDescent="0.2">
      <c r="B6" t="s">
        <v>432</v>
      </c>
      <c r="C6" t="s">
        <v>433</v>
      </c>
    </row>
    <row r="7" spans="2:5" x14ac:dyDescent="0.2">
      <c r="B7" t="s">
        <v>410</v>
      </c>
      <c r="C7" t="s">
        <v>411</v>
      </c>
    </row>
    <row r="8" spans="2:5" x14ac:dyDescent="0.2">
      <c r="B8" t="s">
        <v>434</v>
      </c>
      <c r="C8" t="s">
        <v>435</v>
      </c>
      <c r="D8" t="s">
        <v>436</v>
      </c>
    </row>
    <row r="9" spans="2:5" x14ac:dyDescent="0.2">
      <c r="C9" t="s">
        <v>437</v>
      </c>
      <c r="D9" t="s">
        <v>438</v>
      </c>
    </row>
    <row r="10" spans="2:5" x14ac:dyDescent="0.2">
      <c r="C10" t="s">
        <v>439</v>
      </c>
      <c r="D10" s="10" t="s">
        <v>440</v>
      </c>
    </row>
    <row r="11" spans="2:5" x14ac:dyDescent="0.2">
      <c r="B11" t="s">
        <v>152</v>
      </c>
      <c r="C11" t="s">
        <v>441</v>
      </c>
      <c r="D11" s="10" t="s">
        <v>442</v>
      </c>
    </row>
    <row r="12" spans="2:5" x14ac:dyDescent="0.2">
      <c r="C12" t="s">
        <v>444</v>
      </c>
      <c r="D12" s="10" t="s">
        <v>443</v>
      </c>
    </row>
    <row r="13" spans="2:5" x14ac:dyDescent="0.2">
      <c r="C13" s="10" t="s">
        <v>445</v>
      </c>
      <c r="D13" s="10" t="s">
        <v>446</v>
      </c>
      <c r="E13" t="s">
        <v>447</v>
      </c>
    </row>
    <row r="14" spans="2:5" x14ac:dyDescent="0.2">
      <c r="B14" t="s">
        <v>448</v>
      </c>
      <c r="C14" s="10" t="s">
        <v>449</v>
      </c>
      <c r="D14" s="10" t="s">
        <v>450</v>
      </c>
    </row>
    <row r="15" spans="2:5" x14ac:dyDescent="0.2">
      <c r="B15" t="s">
        <v>451</v>
      </c>
      <c r="C15" s="10" t="s">
        <v>452</v>
      </c>
      <c r="D15" s="6" t="s">
        <v>453</v>
      </c>
    </row>
    <row r="16" spans="2:5" x14ac:dyDescent="0.2">
      <c r="B16" t="s">
        <v>455</v>
      </c>
      <c r="C16" s="10" t="s">
        <v>454</v>
      </c>
      <c r="D16" s="10" t="s">
        <v>456</v>
      </c>
    </row>
    <row r="17" spans="2:10" x14ac:dyDescent="0.2">
      <c r="B17" t="s">
        <v>457</v>
      </c>
      <c r="C17" s="10" t="s">
        <v>458</v>
      </c>
      <c r="D17" s="10" t="s">
        <v>459</v>
      </c>
    </row>
    <row r="18" spans="2:10" x14ac:dyDescent="0.2">
      <c r="C18" s="10" t="s">
        <v>460</v>
      </c>
    </row>
    <row r="19" spans="2:10" x14ac:dyDescent="0.2">
      <c r="B19" t="s">
        <v>468</v>
      </c>
      <c r="C19" s="10" t="s">
        <v>461</v>
      </c>
      <c r="D19" t="s">
        <v>462</v>
      </c>
    </row>
    <row r="20" spans="2:10" x14ac:dyDescent="0.2">
      <c r="B20" t="s">
        <v>464</v>
      </c>
      <c r="C20" s="10" t="s">
        <v>463</v>
      </c>
    </row>
    <row r="21" spans="2:10" x14ac:dyDescent="0.2">
      <c r="B21" t="s">
        <v>465</v>
      </c>
      <c r="C21" s="10" t="s">
        <v>466</v>
      </c>
      <c r="D21" t="s">
        <v>467</v>
      </c>
    </row>
    <row r="22" spans="2:10" x14ac:dyDescent="0.2">
      <c r="B22" t="s">
        <v>469</v>
      </c>
      <c r="C22" s="10" t="s">
        <v>470</v>
      </c>
    </row>
    <row r="23" spans="2:10" x14ac:dyDescent="0.2">
      <c r="B23" t="s">
        <v>471</v>
      </c>
      <c r="C23" s="10" t="s">
        <v>472</v>
      </c>
    </row>
    <row r="24" spans="2:10" x14ac:dyDescent="0.2">
      <c r="B24" t="s">
        <v>473</v>
      </c>
      <c r="C24" s="10" t="s">
        <v>474</v>
      </c>
      <c r="D24" s="10" t="s">
        <v>475</v>
      </c>
    </row>
    <row r="25" spans="2:10" x14ac:dyDescent="0.2">
      <c r="B25" t="s">
        <v>476</v>
      </c>
      <c r="C25" s="10" t="s">
        <v>477</v>
      </c>
      <c r="D25" s="10" t="s">
        <v>478</v>
      </c>
    </row>
    <row r="26" spans="2:10" x14ac:dyDescent="0.2">
      <c r="B26" t="s">
        <v>479</v>
      </c>
      <c r="C26" s="10" t="s">
        <v>480</v>
      </c>
      <c r="D26" s="10" t="s">
        <v>485</v>
      </c>
    </row>
    <row r="27" spans="2:10" x14ac:dyDescent="0.2">
      <c r="C27" s="10" t="s">
        <v>481</v>
      </c>
      <c r="D27" t="s">
        <v>484</v>
      </c>
      <c r="J27" s="9"/>
    </row>
    <row r="28" spans="2:10" x14ac:dyDescent="0.2">
      <c r="C28" s="10" t="s">
        <v>482</v>
      </c>
      <c r="D28" t="s">
        <v>483</v>
      </c>
    </row>
    <row r="29" spans="2:10" x14ac:dyDescent="0.2">
      <c r="B29" t="s">
        <v>487</v>
      </c>
      <c r="C29" s="10" t="s">
        <v>486</v>
      </c>
      <c r="D29" s="10" t="s">
        <v>488</v>
      </c>
    </row>
    <row r="30" spans="2:10" x14ac:dyDescent="0.2">
      <c r="B30" t="s">
        <v>489</v>
      </c>
      <c r="C30" s="10" t="s">
        <v>490</v>
      </c>
      <c r="D30" s="10" t="s">
        <v>491</v>
      </c>
    </row>
    <row r="31" spans="2:10" x14ac:dyDescent="0.2">
      <c r="B31" t="s">
        <v>493</v>
      </c>
      <c r="C31" s="10" t="s">
        <v>494</v>
      </c>
      <c r="D31" s="10" t="s">
        <v>492</v>
      </c>
    </row>
    <row r="32" spans="2:10" x14ac:dyDescent="0.2">
      <c r="B32" t="s">
        <v>496</v>
      </c>
      <c r="C32" s="10" t="s">
        <v>495</v>
      </c>
    </row>
    <row r="33" spans="2:4" x14ac:dyDescent="0.2">
      <c r="B33" t="s">
        <v>497</v>
      </c>
      <c r="C33" s="10" t="s">
        <v>495</v>
      </c>
    </row>
    <row r="34" spans="2:4" x14ac:dyDescent="0.2">
      <c r="B34" t="s">
        <v>499</v>
      </c>
      <c r="C34" s="10" t="s">
        <v>498</v>
      </c>
      <c r="D34" t="s">
        <v>513</v>
      </c>
    </row>
    <row r="35" spans="2:4" x14ac:dyDescent="0.2">
      <c r="B35" t="s">
        <v>500</v>
      </c>
      <c r="C35" s="10" t="s">
        <v>501</v>
      </c>
    </row>
    <row r="36" spans="2:4" x14ac:dyDescent="0.2">
      <c r="B36" t="s">
        <v>508</v>
      </c>
      <c r="C36" s="10" t="s">
        <v>509</v>
      </c>
    </row>
    <row r="37" spans="2:4" x14ac:dyDescent="0.2">
      <c r="B37" t="s">
        <v>511</v>
      </c>
      <c r="C37" s="10" t="s">
        <v>512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1564B-48B0-CE4A-9940-54E198AB1B47}">
  <dimension ref="C3:D25"/>
  <sheetViews>
    <sheetView workbookViewId="0">
      <selection activeCell="D19" sqref="D19"/>
    </sheetView>
  </sheetViews>
  <sheetFormatPr baseColWidth="10" defaultRowHeight="15" x14ac:dyDescent="0.2"/>
  <cols>
    <col min="4" max="4" width="122.5" bestFit="1" customWidth="1"/>
  </cols>
  <sheetData>
    <row r="3" spans="3:4" x14ac:dyDescent="0.2">
      <c r="C3">
        <v>1</v>
      </c>
      <c r="D3" t="s">
        <v>381</v>
      </c>
    </row>
    <row r="4" spans="3:4" x14ac:dyDescent="0.2">
      <c r="C4">
        <v>2</v>
      </c>
      <c r="D4" t="s">
        <v>510</v>
      </c>
    </row>
    <row r="5" spans="3:4" x14ac:dyDescent="0.2">
      <c r="C5">
        <v>3</v>
      </c>
      <c r="D5" t="s">
        <v>514</v>
      </c>
    </row>
    <row r="6" spans="3:4" x14ac:dyDescent="0.2">
      <c r="C6">
        <v>4</v>
      </c>
      <c r="D6" t="s">
        <v>676</v>
      </c>
    </row>
    <row r="7" spans="3:4" x14ac:dyDescent="0.2">
      <c r="C7">
        <v>5</v>
      </c>
      <c r="D7" t="s">
        <v>677</v>
      </c>
    </row>
    <row r="8" spans="3:4" x14ac:dyDescent="0.2">
      <c r="C8">
        <v>6</v>
      </c>
      <c r="D8" t="s">
        <v>678</v>
      </c>
    </row>
    <row r="9" spans="3:4" x14ac:dyDescent="0.2">
      <c r="C9">
        <v>7</v>
      </c>
      <c r="D9" t="s">
        <v>679</v>
      </c>
    </row>
    <row r="10" spans="3:4" x14ac:dyDescent="0.2">
      <c r="C10">
        <v>8</v>
      </c>
      <c r="D10" t="s">
        <v>680</v>
      </c>
    </row>
    <row r="11" spans="3:4" x14ac:dyDescent="0.2">
      <c r="C11">
        <v>9</v>
      </c>
      <c r="D11" t="s">
        <v>681</v>
      </c>
    </row>
    <row r="12" spans="3:4" x14ac:dyDescent="0.2">
      <c r="C12">
        <v>10</v>
      </c>
      <c r="D12" t="s">
        <v>682</v>
      </c>
    </row>
    <row r="13" spans="3:4" x14ac:dyDescent="0.2">
      <c r="C13">
        <v>11</v>
      </c>
      <c r="D13" t="s">
        <v>683</v>
      </c>
    </row>
    <row r="14" spans="3:4" x14ac:dyDescent="0.2">
      <c r="C14">
        <v>12</v>
      </c>
      <c r="D14" t="s">
        <v>684</v>
      </c>
    </row>
    <row r="15" spans="3:4" x14ac:dyDescent="0.2">
      <c r="C15">
        <v>13</v>
      </c>
      <c r="D15" t="s">
        <v>685</v>
      </c>
    </row>
    <row r="16" spans="3:4" x14ac:dyDescent="0.2">
      <c r="C16">
        <v>14</v>
      </c>
      <c r="D16" t="s">
        <v>686</v>
      </c>
    </row>
    <row r="17" spans="3:4" x14ac:dyDescent="0.2">
      <c r="C17">
        <v>15</v>
      </c>
      <c r="D17" t="s">
        <v>687</v>
      </c>
    </row>
    <row r="18" spans="3:4" x14ac:dyDescent="0.2">
      <c r="C18">
        <v>16</v>
      </c>
      <c r="D18" t="s">
        <v>688</v>
      </c>
    </row>
    <row r="19" spans="3:4" x14ac:dyDescent="0.2">
      <c r="C19">
        <v>17</v>
      </c>
      <c r="D19" t="s">
        <v>689</v>
      </c>
    </row>
    <row r="20" spans="3:4" x14ac:dyDescent="0.2">
      <c r="C20">
        <v>18</v>
      </c>
      <c r="D20" t="s">
        <v>690</v>
      </c>
    </row>
    <row r="21" spans="3:4" x14ac:dyDescent="0.2">
      <c r="C21">
        <v>19</v>
      </c>
      <c r="D21" t="s">
        <v>691</v>
      </c>
    </row>
    <row r="22" spans="3:4" x14ac:dyDescent="0.2">
      <c r="C22">
        <v>20</v>
      </c>
      <c r="D22" t="s">
        <v>692</v>
      </c>
    </row>
    <row r="23" spans="3:4" x14ac:dyDescent="0.2">
      <c r="C23">
        <v>21</v>
      </c>
      <c r="D23" t="s">
        <v>693</v>
      </c>
    </row>
    <row r="24" spans="3:4" x14ac:dyDescent="0.2">
      <c r="C24">
        <v>22</v>
      </c>
      <c r="D24" t="s">
        <v>694</v>
      </c>
    </row>
    <row r="25" spans="3:4" x14ac:dyDescent="0.2">
      <c r="C25">
        <v>23</v>
      </c>
      <c r="D25" t="s">
        <v>695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6BBAC-69E9-654E-8D9C-3B87FF81FB51}">
  <dimension ref="B2:D18"/>
  <sheetViews>
    <sheetView workbookViewId="0">
      <selection activeCell="B19" sqref="B19"/>
    </sheetView>
  </sheetViews>
  <sheetFormatPr baseColWidth="10" defaultRowHeight="15" x14ac:dyDescent="0.2"/>
  <sheetData>
    <row r="2" spans="2:4" x14ac:dyDescent="0.2">
      <c r="B2" t="s">
        <v>382</v>
      </c>
      <c r="C2" t="s">
        <v>383</v>
      </c>
    </row>
    <row r="3" spans="2:4" x14ac:dyDescent="0.2">
      <c r="B3" t="s">
        <v>384</v>
      </c>
      <c r="C3" t="s">
        <v>385</v>
      </c>
    </row>
    <row r="4" spans="2:4" x14ac:dyDescent="0.2">
      <c r="B4" t="s">
        <v>386</v>
      </c>
      <c r="C4" t="s">
        <v>387</v>
      </c>
    </row>
    <row r="5" spans="2:4" x14ac:dyDescent="0.2">
      <c r="B5" t="s">
        <v>388</v>
      </c>
      <c r="C5" t="s">
        <v>389</v>
      </c>
      <c r="D5" t="s">
        <v>393</v>
      </c>
    </row>
    <row r="6" spans="2:4" x14ac:dyDescent="0.2">
      <c r="C6" t="s">
        <v>390</v>
      </c>
    </row>
    <row r="7" spans="2:4" x14ac:dyDescent="0.2">
      <c r="B7" t="s">
        <v>391</v>
      </c>
      <c r="C7" t="s">
        <v>392</v>
      </c>
    </row>
    <row r="8" spans="2:4" x14ac:dyDescent="0.2">
      <c r="B8" t="s">
        <v>394</v>
      </c>
      <c r="C8" t="s">
        <v>395</v>
      </c>
      <c r="D8" t="s">
        <v>396</v>
      </c>
    </row>
    <row r="9" spans="2:4" x14ac:dyDescent="0.2">
      <c r="C9" t="s">
        <v>397</v>
      </c>
      <c r="D9" t="s">
        <v>398</v>
      </c>
    </row>
    <row r="10" spans="2:4" x14ac:dyDescent="0.2">
      <c r="B10" t="s">
        <v>399</v>
      </c>
      <c r="C10" t="s">
        <v>400</v>
      </c>
      <c r="D10" t="s">
        <v>401</v>
      </c>
    </row>
    <row r="11" spans="2:4" x14ac:dyDescent="0.2">
      <c r="B11" t="s">
        <v>402</v>
      </c>
      <c r="C11" t="s">
        <v>403</v>
      </c>
    </row>
    <row r="12" spans="2:4" x14ac:dyDescent="0.2">
      <c r="B12" t="s">
        <v>404</v>
      </c>
      <c r="C12" t="s">
        <v>405</v>
      </c>
    </row>
    <row r="13" spans="2:4" x14ac:dyDescent="0.2">
      <c r="B13" t="s">
        <v>409</v>
      </c>
      <c r="C13" t="s">
        <v>406</v>
      </c>
    </row>
    <row r="14" spans="2:4" x14ac:dyDescent="0.2">
      <c r="B14" t="s">
        <v>408</v>
      </c>
      <c r="C14" t="s">
        <v>407</v>
      </c>
    </row>
    <row r="15" spans="2:4" x14ac:dyDescent="0.2">
      <c r="B15" t="s">
        <v>410</v>
      </c>
      <c r="C15" t="s">
        <v>411</v>
      </c>
    </row>
    <row r="16" spans="2:4" x14ac:dyDescent="0.2">
      <c r="B16" t="s">
        <v>188</v>
      </c>
      <c r="C16" t="s">
        <v>412</v>
      </c>
    </row>
    <row r="17" spans="2:3" x14ac:dyDescent="0.2">
      <c r="B17" t="s">
        <v>504</v>
      </c>
      <c r="C17" t="s">
        <v>505</v>
      </c>
    </row>
    <row r="18" spans="2:3" x14ac:dyDescent="0.2">
      <c r="B18" t="s">
        <v>506</v>
      </c>
      <c r="C18" t="s">
        <v>507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66BE9-E15F-0244-BCE8-14559BF06544}">
  <dimension ref="A2:R33"/>
  <sheetViews>
    <sheetView workbookViewId="0">
      <selection activeCell="J30" sqref="J30"/>
    </sheetView>
  </sheetViews>
  <sheetFormatPr baseColWidth="10" defaultRowHeight="15" x14ac:dyDescent="0.2"/>
  <cols>
    <col min="1" max="16384" width="10.83203125" style="10"/>
  </cols>
  <sheetData>
    <row r="2" spans="1:18" x14ac:dyDescent="0.2">
      <c r="B2" s="7" t="s">
        <v>369</v>
      </c>
      <c r="C2" s="7"/>
      <c r="D2" s="7"/>
      <c r="E2" s="7"/>
      <c r="F2" s="7"/>
      <c r="G2" s="7"/>
      <c r="H2" s="7"/>
      <c r="I2" s="7"/>
      <c r="J2" s="7"/>
      <c r="K2" s="7"/>
      <c r="L2" s="7"/>
      <c r="N2" s="7" t="s">
        <v>368</v>
      </c>
      <c r="O2" s="7"/>
      <c r="P2" s="7"/>
      <c r="Q2" s="7"/>
      <c r="R2" s="7"/>
    </row>
    <row r="3" spans="1:18" x14ac:dyDescent="0.2">
      <c r="A3" s="10">
        <v>1</v>
      </c>
      <c r="B3" s="10" t="s">
        <v>325</v>
      </c>
      <c r="N3" s="10" t="s">
        <v>333</v>
      </c>
    </row>
    <row r="4" spans="1:18" x14ac:dyDescent="0.2">
      <c r="A4" s="10">
        <v>2</v>
      </c>
      <c r="B4" s="10" t="s">
        <v>326</v>
      </c>
      <c r="N4" s="10" t="s">
        <v>334</v>
      </c>
    </row>
    <row r="5" spans="1:18" x14ac:dyDescent="0.2">
      <c r="A5" s="10">
        <v>3</v>
      </c>
      <c r="B5" s="10" t="s">
        <v>327</v>
      </c>
      <c r="N5" s="10" t="s">
        <v>335</v>
      </c>
    </row>
    <row r="6" spans="1:18" x14ac:dyDescent="0.2">
      <c r="A6" s="10">
        <v>4</v>
      </c>
      <c r="B6" s="10" t="s">
        <v>328</v>
      </c>
      <c r="N6" s="10" t="s">
        <v>336</v>
      </c>
    </row>
    <row r="7" spans="1:18" x14ac:dyDescent="0.2">
      <c r="B7" s="10" t="s">
        <v>329</v>
      </c>
      <c r="N7" s="10" t="s">
        <v>337</v>
      </c>
    </row>
    <row r="8" spans="1:18" x14ac:dyDescent="0.2">
      <c r="B8" s="10" t="s">
        <v>330</v>
      </c>
      <c r="N8" s="10" t="s">
        <v>338</v>
      </c>
    </row>
    <row r="9" spans="1:18" x14ac:dyDescent="0.2">
      <c r="B9" s="10" t="s">
        <v>331</v>
      </c>
      <c r="N9" s="10" t="s">
        <v>339</v>
      </c>
    </row>
    <row r="10" spans="1:18" x14ac:dyDescent="0.2">
      <c r="B10" s="10" t="s">
        <v>354</v>
      </c>
      <c r="N10" s="10" t="s">
        <v>340</v>
      </c>
    </row>
    <row r="11" spans="1:18" x14ac:dyDescent="0.2">
      <c r="B11" s="10" t="s">
        <v>355</v>
      </c>
      <c r="N11" s="10" t="s">
        <v>341</v>
      </c>
    </row>
    <row r="12" spans="1:18" x14ac:dyDescent="0.2">
      <c r="B12" s="10" t="s">
        <v>356</v>
      </c>
      <c r="N12" s="10" t="s">
        <v>342</v>
      </c>
    </row>
    <row r="13" spans="1:18" x14ac:dyDescent="0.2">
      <c r="B13" s="10" t="s">
        <v>357</v>
      </c>
      <c r="N13" s="10" t="s">
        <v>343</v>
      </c>
    </row>
    <row r="14" spans="1:18" x14ac:dyDescent="0.2">
      <c r="B14" s="10" t="s">
        <v>358</v>
      </c>
      <c r="N14" s="10" t="s">
        <v>344</v>
      </c>
    </row>
    <row r="15" spans="1:18" x14ac:dyDescent="0.2">
      <c r="B15" s="10" t="s">
        <v>359</v>
      </c>
      <c r="N15" s="10" t="s">
        <v>345</v>
      </c>
    </row>
    <row r="16" spans="1:18" x14ac:dyDescent="0.2">
      <c r="B16" s="10" t="s">
        <v>360</v>
      </c>
      <c r="N16" s="10" t="s">
        <v>346</v>
      </c>
    </row>
    <row r="17" spans="2:14" x14ac:dyDescent="0.2">
      <c r="B17" s="10" t="s">
        <v>361</v>
      </c>
      <c r="N17" s="10" t="s">
        <v>347</v>
      </c>
    </row>
    <row r="18" spans="2:14" x14ac:dyDescent="0.2">
      <c r="B18" s="10" t="s">
        <v>362</v>
      </c>
      <c r="N18" s="10" t="s">
        <v>348</v>
      </c>
    </row>
    <row r="19" spans="2:14" x14ac:dyDescent="0.2">
      <c r="B19" s="10" t="s">
        <v>363</v>
      </c>
      <c r="N19" s="10" t="s">
        <v>349</v>
      </c>
    </row>
    <row r="20" spans="2:14" x14ac:dyDescent="0.2">
      <c r="B20" s="10" t="s">
        <v>364</v>
      </c>
      <c r="N20" s="10" t="s">
        <v>350</v>
      </c>
    </row>
    <row r="21" spans="2:14" x14ac:dyDescent="0.2">
      <c r="B21" s="10" t="s">
        <v>365</v>
      </c>
      <c r="N21" s="10" t="s">
        <v>351</v>
      </c>
    </row>
    <row r="22" spans="2:14" x14ac:dyDescent="0.2">
      <c r="B22" s="10" t="s">
        <v>366</v>
      </c>
      <c r="N22" s="10" t="s">
        <v>352</v>
      </c>
    </row>
    <row r="23" spans="2:14" x14ac:dyDescent="0.2">
      <c r="B23" s="10" t="s">
        <v>367</v>
      </c>
      <c r="N23" s="10" t="s">
        <v>353</v>
      </c>
    </row>
    <row r="24" spans="2:14" x14ac:dyDescent="0.2">
      <c r="B24" s="10" t="s">
        <v>306</v>
      </c>
      <c r="N24" s="10" t="s">
        <v>515</v>
      </c>
    </row>
    <row r="25" spans="2:14" x14ac:dyDescent="0.2">
      <c r="B25" s="10" t="s">
        <v>307</v>
      </c>
      <c r="N25" s="10" t="s">
        <v>516</v>
      </c>
    </row>
    <row r="26" spans="2:14" x14ac:dyDescent="0.2">
      <c r="B26" s="10" t="s">
        <v>308</v>
      </c>
    </row>
    <row r="27" spans="2:14" x14ac:dyDescent="0.2">
      <c r="B27" s="10" t="s">
        <v>314</v>
      </c>
    </row>
    <row r="28" spans="2:14" x14ac:dyDescent="0.2">
      <c r="B28" s="10" t="s">
        <v>315</v>
      </c>
    </row>
    <row r="29" spans="2:14" x14ac:dyDescent="0.2">
      <c r="B29" s="10" t="s">
        <v>316</v>
      </c>
    </row>
    <row r="30" spans="2:14" x14ac:dyDescent="0.2">
      <c r="B30" s="10" t="s">
        <v>321</v>
      </c>
    </row>
    <row r="31" spans="2:14" x14ac:dyDescent="0.2">
      <c r="B31" s="10" t="s">
        <v>322</v>
      </c>
    </row>
    <row r="32" spans="2:14" x14ac:dyDescent="0.2">
      <c r="B32" s="10" t="s">
        <v>323</v>
      </c>
    </row>
    <row r="33" spans="2:2" x14ac:dyDescent="0.2">
      <c r="B33" s="10" t="s">
        <v>324</v>
      </c>
    </row>
  </sheetData>
  <mergeCells count="2">
    <mergeCell ref="N2:R2"/>
    <mergeCell ref="B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RFP-Document-Functions-Summary</vt:lpstr>
      <vt:lpstr>Scope Summary</vt:lpstr>
      <vt:lpstr>scope</vt:lpstr>
      <vt:lpstr>Functional_Gap_Matrix</vt:lpstr>
      <vt:lpstr>About Company and Capabilitiy</vt:lpstr>
      <vt:lpstr>3rd Parties</vt:lpstr>
      <vt:lpstr>Quesions</vt:lpstr>
      <vt:lpstr>Tech Stack</vt:lpstr>
      <vt:lpstr>Requirement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Kannan Ramakrishnan</cp:lastModifiedBy>
  <dcterms:created xsi:type="dcterms:W3CDTF">2026-04-07T14:43:40Z</dcterms:created>
  <dcterms:modified xsi:type="dcterms:W3CDTF">2026-04-09T00:48:59Z</dcterms:modified>
</cp:coreProperties>
</file>